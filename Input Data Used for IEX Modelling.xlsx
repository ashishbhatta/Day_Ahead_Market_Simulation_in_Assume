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.shortcut-targets-by-id\1jlVd3ji_t3I29VmRvWOqnkUlzkjBnhr8\Electricity Market\Assume toolbox\IEX_Indian Market Modelling\"/>
    </mc:Choice>
  </mc:AlternateContent>
  <xr:revisionPtr revIDLastSave="0" documentId="13_ncr:1_{CE4B1791-B62F-42E1-A5E0-A380B10D83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xed cost calculation" sheetId="1" r:id="rId1"/>
    <sheet name="Sheet2" sheetId="2" r:id="rId2"/>
    <sheet name="Cost Range" sheetId="3" r:id="rId3"/>
    <sheet name="Sheet1" sheetId="4" state="hidden" r:id="rId4"/>
    <sheet name="Financial Parameters Generators" sheetId="5" state="hidden" r:id="rId5"/>
    <sheet name="Renewable share" sheetId="6" state="hidden" r:id="rId6"/>
    <sheet name="Coal Prices" sheetId="7" r:id="rId7"/>
    <sheet name="Gas Price" sheetId="8" r:id="rId8"/>
    <sheet name="Hydro availability Factor" sheetId="9" state="hidden" r:id="rId9"/>
    <sheet name="Solar availability factor" sheetId="10" state="hidden" r:id="rId10"/>
    <sheet name="Wind availbility factor" sheetId="11" state="hidden" r:id="rId11"/>
  </sheets>
  <definedNames>
    <definedName name="Z_4B963B50_4679_4241_9BF5_629127B52858_.wvu.FilterData" localSheetId="3" hidden="1">Sheet1!$A$2:$N$9</definedName>
  </definedNames>
  <calcPr calcId="191029"/>
  <customWorkbookViews>
    <customWorkbookView name="Table1 filter view" guid="{4B963B50-4679-4241-9BF5-629127B5285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LJvUrH9XhxzQCGa+vGMgnVmj4BQ4xe0DaMRmDYg5eVc="/>
    </ext>
  </extLst>
</workbook>
</file>

<file path=xl/calcChain.xml><?xml version="1.0" encoding="utf-8"?>
<calcChain xmlns="http://schemas.openxmlformats.org/spreadsheetml/2006/main">
  <c r="H10" i="1" l="1"/>
  <c r="K131" i="1"/>
  <c r="D131" i="1"/>
  <c r="C131" i="1"/>
  <c r="C8" i="1"/>
  <c r="H8" i="1"/>
  <c r="B12" i="8" l="1"/>
  <c r="B11" i="8"/>
  <c r="B10" i="8"/>
  <c r="D8" i="8"/>
  <c r="D7" i="8"/>
  <c r="D6" i="8"/>
  <c r="B4" i="8"/>
  <c r="H31" i="7"/>
  <c r="H28" i="7"/>
  <c r="H24" i="7"/>
  <c r="H21" i="7"/>
  <c r="H13" i="7"/>
  <c r="H16" i="7" s="1"/>
  <c r="H9" i="7"/>
  <c r="H6" i="7"/>
  <c r="B14" i="6"/>
  <c r="B19" i="6" s="1"/>
  <c r="B20" i="6" s="1"/>
  <c r="B11" i="6"/>
  <c r="B3" i="6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P129" i="1"/>
  <c r="D129" i="1"/>
  <c r="E129" i="1" s="1"/>
  <c r="F129" i="1" s="1"/>
  <c r="C129" i="1"/>
  <c r="P128" i="1"/>
  <c r="D128" i="1"/>
  <c r="C128" i="1"/>
  <c r="P127" i="1"/>
  <c r="D127" i="1"/>
  <c r="C127" i="1"/>
  <c r="P126" i="1"/>
  <c r="D126" i="1"/>
  <c r="E126" i="1" s="1"/>
  <c r="F126" i="1" s="1"/>
  <c r="C126" i="1"/>
  <c r="P125" i="1"/>
  <c r="D125" i="1"/>
  <c r="E125" i="1" s="1"/>
  <c r="F125" i="1" s="1"/>
  <c r="C125" i="1"/>
  <c r="P124" i="1"/>
  <c r="D124" i="1"/>
  <c r="C124" i="1"/>
  <c r="P123" i="1"/>
  <c r="D123" i="1"/>
  <c r="C123" i="1"/>
  <c r="P122" i="1"/>
  <c r="D122" i="1"/>
  <c r="C122" i="1"/>
  <c r="P121" i="1"/>
  <c r="D121" i="1"/>
  <c r="C121" i="1"/>
  <c r="P120" i="1"/>
  <c r="D120" i="1"/>
  <c r="C120" i="1"/>
  <c r="P119" i="1"/>
  <c r="D119" i="1"/>
  <c r="C119" i="1"/>
  <c r="P118" i="1"/>
  <c r="D118" i="1"/>
  <c r="C118" i="1"/>
  <c r="P117" i="1"/>
  <c r="D117" i="1"/>
  <c r="E117" i="1" s="1"/>
  <c r="F117" i="1" s="1"/>
  <c r="C117" i="1"/>
  <c r="P116" i="1"/>
  <c r="D116" i="1"/>
  <c r="C116" i="1"/>
  <c r="P115" i="1"/>
  <c r="D115" i="1"/>
  <c r="C115" i="1"/>
  <c r="P114" i="1"/>
  <c r="D114" i="1"/>
  <c r="C114" i="1"/>
  <c r="P113" i="1"/>
  <c r="D113" i="1"/>
  <c r="E113" i="1" s="1"/>
  <c r="F113" i="1" s="1"/>
  <c r="C113" i="1"/>
  <c r="P112" i="1"/>
  <c r="D112" i="1"/>
  <c r="C112" i="1"/>
  <c r="H109" i="1"/>
  <c r="P109" i="1" s="1"/>
  <c r="D109" i="1"/>
  <c r="C109" i="1"/>
  <c r="H108" i="1"/>
  <c r="P108" i="1" s="1"/>
  <c r="D108" i="1"/>
  <c r="E108" i="1" s="1"/>
  <c r="F108" i="1" s="1"/>
  <c r="C108" i="1"/>
  <c r="H107" i="1"/>
  <c r="P107" i="1" s="1"/>
  <c r="D107" i="1"/>
  <c r="C107" i="1"/>
  <c r="H106" i="1"/>
  <c r="P106" i="1" s="1"/>
  <c r="D106" i="1"/>
  <c r="C106" i="1"/>
  <c r="H105" i="1"/>
  <c r="P105" i="1" s="1"/>
  <c r="D105" i="1"/>
  <c r="C105" i="1"/>
  <c r="H104" i="1"/>
  <c r="P104" i="1" s="1"/>
  <c r="D104" i="1"/>
  <c r="C104" i="1"/>
  <c r="H103" i="1"/>
  <c r="P103" i="1" s="1"/>
  <c r="D103" i="1"/>
  <c r="E103" i="1" s="1"/>
  <c r="F103" i="1" s="1"/>
  <c r="C103" i="1"/>
  <c r="H102" i="1"/>
  <c r="P102" i="1" s="1"/>
  <c r="D102" i="1"/>
  <c r="C102" i="1"/>
  <c r="H101" i="1"/>
  <c r="P101" i="1" s="1"/>
  <c r="D101" i="1"/>
  <c r="C101" i="1"/>
  <c r="H100" i="1"/>
  <c r="P100" i="1" s="1"/>
  <c r="D100" i="1"/>
  <c r="E100" i="1" s="1"/>
  <c r="F100" i="1" s="1"/>
  <c r="C100" i="1"/>
  <c r="H99" i="1"/>
  <c r="P99" i="1" s="1"/>
  <c r="D99" i="1"/>
  <c r="E99" i="1" s="1"/>
  <c r="F99" i="1" s="1"/>
  <c r="C99" i="1"/>
  <c r="P98" i="1"/>
  <c r="D98" i="1"/>
  <c r="C98" i="1"/>
  <c r="P95" i="1"/>
  <c r="D95" i="1"/>
  <c r="C95" i="1"/>
  <c r="P94" i="1"/>
  <c r="D94" i="1"/>
  <c r="E94" i="1" s="1"/>
  <c r="F94" i="1" s="1"/>
  <c r="C94" i="1"/>
  <c r="P93" i="1"/>
  <c r="D93" i="1"/>
  <c r="C93" i="1"/>
  <c r="P92" i="1"/>
  <c r="D92" i="1"/>
  <c r="C92" i="1"/>
  <c r="P91" i="1"/>
  <c r="D91" i="1"/>
  <c r="C91" i="1"/>
  <c r="P90" i="1"/>
  <c r="D90" i="1"/>
  <c r="E90" i="1" s="1"/>
  <c r="F90" i="1" s="1"/>
  <c r="C90" i="1"/>
  <c r="P89" i="1"/>
  <c r="D89" i="1"/>
  <c r="E89" i="1" s="1"/>
  <c r="F89" i="1" s="1"/>
  <c r="C89" i="1"/>
  <c r="P88" i="1"/>
  <c r="D88" i="1"/>
  <c r="C88" i="1"/>
  <c r="P87" i="1"/>
  <c r="D87" i="1"/>
  <c r="C87" i="1"/>
  <c r="P86" i="1"/>
  <c r="D86" i="1"/>
  <c r="E86" i="1" s="1"/>
  <c r="F86" i="1" s="1"/>
  <c r="C86" i="1"/>
  <c r="P85" i="1"/>
  <c r="D85" i="1"/>
  <c r="C85" i="1"/>
  <c r="P84" i="1"/>
  <c r="D84" i="1"/>
  <c r="C84" i="1"/>
  <c r="P83" i="1"/>
  <c r="D83" i="1"/>
  <c r="C83" i="1"/>
  <c r="P82" i="1"/>
  <c r="D82" i="1"/>
  <c r="E82" i="1" s="1"/>
  <c r="F82" i="1" s="1"/>
  <c r="C82" i="1"/>
  <c r="P81" i="1"/>
  <c r="D81" i="1"/>
  <c r="E81" i="1" s="1"/>
  <c r="F81" i="1" s="1"/>
  <c r="C81" i="1"/>
  <c r="P80" i="1"/>
  <c r="D80" i="1"/>
  <c r="C80" i="1"/>
  <c r="P79" i="1"/>
  <c r="D79" i="1"/>
  <c r="C79" i="1"/>
  <c r="P78" i="1"/>
  <c r="D78" i="1"/>
  <c r="E78" i="1" s="1"/>
  <c r="F78" i="1" s="1"/>
  <c r="C78" i="1"/>
  <c r="P77" i="1"/>
  <c r="D77" i="1"/>
  <c r="E77" i="1" s="1"/>
  <c r="F77" i="1" s="1"/>
  <c r="C77" i="1"/>
  <c r="P76" i="1"/>
  <c r="D76" i="1"/>
  <c r="C76" i="1"/>
  <c r="P75" i="1"/>
  <c r="D75" i="1"/>
  <c r="C75" i="1"/>
  <c r="P74" i="1"/>
  <c r="D74" i="1"/>
  <c r="C74" i="1"/>
  <c r="P73" i="1"/>
  <c r="D73" i="1"/>
  <c r="E73" i="1" s="1"/>
  <c r="F73" i="1" s="1"/>
  <c r="C73" i="1"/>
  <c r="P72" i="1"/>
  <c r="D72" i="1"/>
  <c r="C72" i="1"/>
  <c r="P71" i="1"/>
  <c r="D71" i="1"/>
  <c r="C71" i="1"/>
  <c r="P70" i="1"/>
  <c r="D70" i="1"/>
  <c r="E70" i="1" s="1"/>
  <c r="F70" i="1" s="1"/>
  <c r="C70" i="1"/>
  <c r="P69" i="1"/>
  <c r="D69" i="1"/>
  <c r="C69" i="1"/>
  <c r="P68" i="1"/>
  <c r="D68" i="1"/>
  <c r="C68" i="1"/>
  <c r="P67" i="1"/>
  <c r="D67" i="1"/>
  <c r="C67" i="1"/>
  <c r="P64" i="1"/>
  <c r="D64" i="1"/>
  <c r="C64" i="1"/>
  <c r="P63" i="1"/>
  <c r="D63" i="1"/>
  <c r="E63" i="1" s="1"/>
  <c r="F63" i="1" s="1"/>
  <c r="C63" i="1"/>
  <c r="P62" i="1"/>
  <c r="D62" i="1"/>
  <c r="C62" i="1"/>
  <c r="P61" i="1"/>
  <c r="D61" i="1"/>
  <c r="C61" i="1"/>
  <c r="P60" i="1"/>
  <c r="D60" i="1"/>
  <c r="E60" i="1" s="1"/>
  <c r="F60" i="1" s="1"/>
  <c r="C60" i="1"/>
  <c r="P59" i="1"/>
  <c r="D59" i="1"/>
  <c r="E59" i="1" s="1"/>
  <c r="F59" i="1" s="1"/>
  <c r="C59" i="1"/>
  <c r="P58" i="1"/>
  <c r="D58" i="1"/>
  <c r="C58" i="1"/>
  <c r="P57" i="1"/>
  <c r="D57" i="1"/>
  <c r="C57" i="1"/>
  <c r="P56" i="1"/>
  <c r="D56" i="1"/>
  <c r="E56" i="1" s="1"/>
  <c r="F56" i="1" s="1"/>
  <c r="C56" i="1"/>
  <c r="P55" i="1"/>
  <c r="D55" i="1"/>
  <c r="E55" i="1" s="1"/>
  <c r="F55" i="1" s="1"/>
  <c r="C55" i="1"/>
  <c r="P54" i="1"/>
  <c r="D54" i="1"/>
  <c r="C54" i="1"/>
  <c r="P53" i="1"/>
  <c r="D53" i="1"/>
  <c r="C53" i="1"/>
  <c r="P52" i="1"/>
  <c r="D52" i="1"/>
  <c r="E52" i="1" s="1"/>
  <c r="F52" i="1" s="1"/>
  <c r="C52" i="1"/>
  <c r="P51" i="1"/>
  <c r="D51" i="1"/>
  <c r="E51" i="1" s="1"/>
  <c r="F51" i="1" s="1"/>
  <c r="C51" i="1"/>
  <c r="H44" i="1"/>
  <c r="P44" i="1" s="1"/>
  <c r="D44" i="1"/>
  <c r="C44" i="1"/>
  <c r="P43" i="1"/>
  <c r="H43" i="1"/>
  <c r="D43" i="1"/>
  <c r="E43" i="1" s="1"/>
  <c r="F43" i="1" s="1"/>
  <c r="C43" i="1"/>
  <c r="H42" i="1"/>
  <c r="P42" i="1" s="1"/>
  <c r="D42" i="1"/>
  <c r="E42" i="1" s="1"/>
  <c r="F42" i="1" s="1"/>
  <c r="C42" i="1"/>
  <c r="H41" i="1"/>
  <c r="P41" i="1" s="1"/>
  <c r="D41" i="1"/>
  <c r="C41" i="1"/>
  <c r="P40" i="1"/>
  <c r="H40" i="1"/>
  <c r="D40" i="1"/>
  <c r="E40" i="1" s="1"/>
  <c r="F40" i="1" s="1"/>
  <c r="C40" i="1"/>
  <c r="H39" i="1"/>
  <c r="P39" i="1" s="1"/>
  <c r="D39" i="1"/>
  <c r="E39" i="1" s="1"/>
  <c r="F39" i="1" s="1"/>
  <c r="C39" i="1"/>
  <c r="H38" i="1"/>
  <c r="P38" i="1" s="1"/>
  <c r="D38" i="1"/>
  <c r="C38" i="1"/>
  <c r="H37" i="1"/>
  <c r="P37" i="1" s="1"/>
  <c r="E37" i="1"/>
  <c r="F37" i="1" s="1"/>
  <c r="C37" i="1"/>
  <c r="P36" i="1"/>
  <c r="H36" i="1"/>
  <c r="D36" i="1"/>
  <c r="E36" i="1" s="1"/>
  <c r="F36" i="1" s="1"/>
  <c r="C36" i="1"/>
  <c r="P35" i="1"/>
  <c r="H35" i="1"/>
  <c r="D35" i="1"/>
  <c r="C35" i="1"/>
  <c r="H34" i="1"/>
  <c r="P34" i="1" s="1"/>
  <c r="D34" i="1"/>
  <c r="C34" i="1"/>
  <c r="H33" i="1"/>
  <c r="P33" i="1" s="1"/>
  <c r="G33" i="1"/>
  <c r="E33" i="1"/>
  <c r="F33" i="1" s="1"/>
  <c r="C33" i="1"/>
  <c r="P32" i="1"/>
  <c r="H32" i="1"/>
  <c r="G32" i="1"/>
  <c r="C32" i="1"/>
  <c r="H31" i="1"/>
  <c r="P31" i="1" s="1"/>
  <c r="G31" i="1"/>
  <c r="C31" i="1"/>
  <c r="H30" i="1"/>
  <c r="P30" i="1" s="1"/>
  <c r="G30" i="1"/>
  <c r="E30" i="1"/>
  <c r="F30" i="1" s="1"/>
  <c r="C30" i="1"/>
  <c r="H29" i="1"/>
  <c r="P29" i="1" s="1"/>
  <c r="G29" i="1"/>
  <c r="C29" i="1"/>
  <c r="H28" i="1"/>
  <c r="P28" i="1" s="1"/>
  <c r="G28" i="1"/>
  <c r="C28" i="1"/>
  <c r="P27" i="1"/>
  <c r="H27" i="1"/>
  <c r="G27" i="1"/>
  <c r="E27" i="1"/>
  <c r="F27" i="1" s="1"/>
  <c r="O27" i="1" s="1"/>
  <c r="C27" i="1"/>
  <c r="H26" i="1"/>
  <c r="P26" i="1" s="1"/>
  <c r="G26" i="1"/>
  <c r="C26" i="1"/>
  <c r="H25" i="1"/>
  <c r="P25" i="1" s="1"/>
  <c r="D25" i="1"/>
  <c r="E25" i="1" s="1"/>
  <c r="F25" i="1" s="1"/>
  <c r="C25" i="1"/>
  <c r="H22" i="1"/>
  <c r="P22" i="1" s="1"/>
  <c r="E22" i="1"/>
  <c r="F22" i="1" s="1"/>
  <c r="C22" i="1"/>
  <c r="H21" i="1"/>
  <c r="P21" i="1" s="1"/>
  <c r="C21" i="1"/>
  <c r="H20" i="1"/>
  <c r="P20" i="1" s="1"/>
  <c r="C20" i="1"/>
  <c r="H19" i="1"/>
  <c r="P19" i="1" s="1"/>
  <c r="E19" i="1"/>
  <c r="F19" i="1" s="1"/>
  <c r="C19" i="1"/>
  <c r="H18" i="1"/>
  <c r="P18" i="1" s="1"/>
  <c r="E18" i="1"/>
  <c r="F18" i="1" s="1"/>
  <c r="C18" i="1"/>
  <c r="H17" i="1"/>
  <c r="P17" i="1" s="1"/>
  <c r="C17" i="1"/>
  <c r="H16" i="1"/>
  <c r="P16" i="1" s="1"/>
  <c r="C16" i="1"/>
  <c r="H15" i="1"/>
  <c r="P15" i="1" s="1"/>
  <c r="E15" i="1"/>
  <c r="F15" i="1" s="1"/>
  <c r="C15" i="1"/>
  <c r="M15" i="1" s="1"/>
  <c r="H14" i="1"/>
  <c r="P14" i="1" s="1"/>
  <c r="E14" i="1"/>
  <c r="F14" i="1" s="1"/>
  <c r="C14" i="1"/>
  <c r="P13" i="1"/>
  <c r="H13" i="1"/>
  <c r="C13" i="1"/>
  <c r="H12" i="1"/>
  <c r="C12" i="1"/>
  <c r="H11" i="1"/>
  <c r="P11" i="1" s="1"/>
  <c r="E11" i="1"/>
  <c r="F11" i="1" s="1"/>
  <c r="C11" i="1"/>
  <c r="P10" i="1"/>
  <c r="E10" i="1"/>
  <c r="F10" i="1" s="1"/>
  <c r="C10" i="1"/>
  <c r="P9" i="1"/>
  <c r="H9" i="1"/>
  <c r="C9" i="1"/>
  <c r="P8" i="1"/>
  <c r="C4" i="1"/>
  <c r="B4" i="1"/>
  <c r="E131" i="1" s="1"/>
  <c r="F131" i="1" s="1"/>
  <c r="M131" i="1" s="1"/>
  <c r="K89" i="1" l="1"/>
  <c r="C76" i="2" s="1"/>
  <c r="M10" i="1"/>
  <c r="K125" i="1"/>
  <c r="Q125" i="1" s="1"/>
  <c r="O78" i="1"/>
  <c r="M40" i="1"/>
  <c r="O108" i="1"/>
  <c r="E34" i="1"/>
  <c r="F34" i="1" s="1"/>
  <c r="K34" i="1" s="1"/>
  <c r="E75" i="1"/>
  <c r="F75" i="1" s="1"/>
  <c r="K75" i="1" s="1"/>
  <c r="O22" i="1"/>
  <c r="O63" i="1"/>
  <c r="K73" i="1"/>
  <c r="Q73" i="1" s="1"/>
  <c r="D60" i="2" s="1"/>
  <c r="K81" i="1"/>
  <c r="C68" i="2" s="1"/>
  <c r="O99" i="1"/>
  <c r="K113" i="1"/>
  <c r="C96" i="2" s="1"/>
  <c r="K33" i="1"/>
  <c r="M27" i="1"/>
  <c r="M60" i="1"/>
  <c r="K82" i="1"/>
  <c r="C69" i="2" s="1"/>
  <c r="O94" i="1"/>
  <c r="M67" i="1"/>
  <c r="E38" i="1"/>
  <c r="F38" i="1" s="1"/>
  <c r="O38" i="1" s="1"/>
  <c r="E54" i="1"/>
  <c r="F54" i="1" s="1"/>
  <c r="O54" i="1" s="1"/>
  <c r="E58" i="1"/>
  <c r="F58" i="1" s="1"/>
  <c r="O58" i="1" s="1"/>
  <c r="E62" i="1"/>
  <c r="F62" i="1" s="1"/>
  <c r="O62" i="1" s="1"/>
  <c r="E68" i="1"/>
  <c r="F68" i="1" s="1"/>
  <c r="K68" i="1" s="1"/>
  <c r="C55" i="2" s="1"/>
  <c r="E72" i="1"/>
  <c r="F72" i="1" s="1"/>
  <c r="O72" i="1" s="1"/>
  <c r="E88" i="1"/>
  <c r="F88" i="1" s="1"/>
  <c r="K88" i="1" s="1"/>
  <c r="C75" i="2" s="1"/>
  <c r="K117" i="1"/>
  <c r="Q117" i="1" s="1"/>
  <c r="D100" i="2" s="1"/>
  <c r="K27" i="1"/>
  <c r="C22" i="2" s="1"/>
  <c r="K36" i="1"/>
  <c r="C31" i="2" s="1"/>
  <c r="O11" i="1"/>
  <c r="M56" i="1"/>
  <c r="K86" i="1"/>
  <c r="C73" i="2" s="1"/>
  <c r="O15" i="1"/>
  <c r="E29" i="1"/>
  <c r="F29" i="1" s="1"/>
  <c r="K29" i="1" s="1"/>
  <c r="E8" i="1"/>
  <c r="F8" i="1" s="1"/>
  <c r="E28" i="1"/>
  <c r="F28" i="1" s="1"/>
  <c r="E57" i="1"/>
  <c r="F57" i="1" s="1"/>
  <c r="O57" i="1" s="1"/>
  <c r="E61" i="1"/>
  <c r="F61" i="1" s="1"/>
  <c r="M61" i="1" s="1"/>
  <c r="E67" i="1"/>
  <c r="F67" i="1" s="1"/>
  <c r="O67" i="1" s="1"/>
  <c r="E79" i="1"/>
  <c r="F79" i="1" s="1"/>
  <c r="M79" i="1" s="1"/>
  <c r="E83" i="1"/>
  <c r="F83" i="1" s="1"/>
  <c r="K83" i="1" s="1"/>
  <c r="Q83" i="1" s="1"/>
  <c r="D70" i="2" s="1"/>
  <c r="E91" i="1"/>
  <c r="F91" i="1" s="1"/>
  <c r="O91" i="1" s="1"/>
  <c r="E95" i="1"/>
  <c r="F95" i="1" s="1"/>
  <c r="M95" i="1" s="1"/>
  <c r="E101" i="1"/>
  <c r="F101" i="1" s="1"/>
  <c r="M101" i="1" s="1"/>
  <c r="E109" i="1"/>
  <c r="F109" i="1" s="1"/>
  <c r="O109" i="1" s="1"/>
  <c r="E119" i="1"/>
  <c r="F119" i="1" s="1"/>
  <c r="M119" i="1" s="1"/>
  <c r="E44" i="1"/>
  <c r="F44" i="1" s="1"/>
  <c r="M44" i="1" s="1"/>
  <c r="E35" i="1"/>
  <c r="F35" i="1" s="1"/>
  <c r="O35" i="1" s="1"/>
  <c r="E98" i="1"/>
  <c r="F98" i="1" s="1"/>
  <c r="M98" i="1" s="1"/>
  <c r="E102" i="1"/>
  <c r="F102" i="1" s="1"/>
  <c r="O102" i="1" s="1"/>
  <c r="E106" i="1"/>
  <c r="F106" i="1" s="1"/>
  <c r="O106" i="1" s="1"/>
  <c r="E116" i="1"/>
  <c r="F116" i="1" s="1"/>
  <c r="K116" i="1" s="1"/>
  <c r="Q116" i="1" s="1"/>
  <c r="D99" i="2" s="1"/>
  <c r="O113" i="1"/>
  <c r="M126" i="1"/>
  <c r="M55" i="1"/>
  <c r="M36" i="1"/>
  <c r="O36" i="1"/>
  <c r="O90" i="1"/>
  <c r="K90" i="1"/>
  <c r="C77" i="2" s="1"/>
  <c r="M108" i="1"/>
  <c r="O56" i="1"/>
  <c r="K60" i="1"/>
  <c r="O60" i="1"/>
  <c r="O40" i="1"/>
  <c r="K40" i="1"/>
  <c r="C35" i="2" s="1"/>
  <c r="O82" i="1"/>
  <c r="K43" i="1"/>
  <c r="M19" i="1"/>
  <c r="K19" i="1"/>
  <c r="O19" i="1"/>
  <c r="O103" i="1"/>
  <c r="M103" i="1"/>
  <c r="K103" i="1"/>
  <c r="M39" i="1"/>
  <c r="O39" i="1"/>
  <c r="K25" i="1"/>
  <c r="O25" i="1"/>
  <c r="M25" i="1"/>
  <c r="O30" i="1"/>
  <c r="M30" i="1"/>
  <c r="Q33" i="1"/>
  <c r="D28" i="2" s="1"/>
  <c r="C28" i="2"/>
  <c r="O51" i="1"/>
  <c r="M51" i="1"/>
  <c r="K39" i="1"/>
  <c r="M52" i="1"/>
  <c r="K52" i="1"/>
  <c r="O52" i="1"/>
  <c r="O59" i="1"/>
  <c r="M59" i="1"/>
  <c r="O14" i="1"/>
  <c r="K14" i="1"/>
  <c r="O73" i="1"/>
  <c r="O18" i="1"/>
  <c r="K18" i="1"/>
  <c r="K57" i="1"/>
  <c r="M9" i="1"/>
  <c r="P12" i="1"/>
  <c r="M14" i="1"/>
  <c r="K22" i="1"/>
  <c r="M22" i="1"/>
  <c r="K30" i="1"/>
  <c r="M42" i="1"/>
  <c r="O42" i="1"/>
  <c r="O77" i="1"/>
  <c r="M77" i="1"/>
  <c r="K77" i="1"/>
  <c r="O126" i="1"/>
  <c r="K126" i="1"/>
  <c r="O86" i="1"/>
  <c r="M63" i="1"/>
  <c r="M37" i="1"/>
  <c r="K37" i="1"/>
  <c r="O37" i="1"/>
  <c r="M70" i="1"/>
  <c r="O70" i="1"/>
  <c r="K70" i="1"/>
  <c r="K55" i="1"/>
  <c r="M99" i="1"/>
  <c r="K99" i="1"/>
  <c r="M43" i="1"/>
  <c r="O43" i="1"/>
  <c r="O55" i="1"/>
  <c r="K11" i="1"/>
  <c r="M73" i="1"/>
  <c r="K108" i="1"/>
  <c r="M18" i="1"/>
  <c r="O98" i="1"/>
  <c r="K98" i="1"/>
  <c r="M11" i="1"/>
  <c r="K17" i="1"/>
  <c r="K15" i="1"/>
  <c r="K42" i="1"/>
  <c r="K56" i="1"/>
  <c r="O10" i="1"/>
  <c r="K10" i="1"/>
  <c r="O28" i="1"/>
  <c r="M28" i="1"/>
  <c r="K28" i="1"/>
  <c r="O33" i="1"/>
  <c r="M33" i="1"/>
  <c r="K51" i="1"/>
  <c r="O81" i="1"/>
  <c r="M81" i="1"/>
  <c r="E92" i="1"/>
  <c r="F92" i="1" s="1"/>
  <c r="O92" i="1" s="1"/>
  <c r="E122" i="1"/>
  <c r="F122" i="1" s="1"/>
  <c r="O129" i="1"/>
  <c r="E85" i="1"/>
  <c r="F85" i="1" s="1"/>
  <c r="M85" i="1" s="1"/>
  <c r="E87" i="1"/>
  <c r="F87" i="1" s="1"/>
  <c r="O89" i="1"/>
  <c r="M89" i="1"/>
  <c r="M100" i="1"/>
  <c r="K100" i="1"/>
  <c r="O117" i="1"/>
  <c r="E120" i="1"/>
  <c r="F120" i="1" s="1"/>
  <c r="K120" i="1" s="1"/>
  <c r="E123" i="1"/>
  <c r="F123" i="1" s="1"/>
  <c r="E9" i="1"/>
  <c r="F9" i="1" s="1"/>
  <c r="O9" i="1" s="1"/>
  <c r="E13" i="1"/>
  <c r="F13" i="1" s="1"/>
  <c r="O13" i="1" s="1"/>
  <c r="E17" i="1"/>
  <c r="F17" i="1" s="1"/>
  <c r="O17" i="1" s="1"/>
  <c r="E21" i="1"/>
  <c r="F21" i="1" s="1"/>
  <c r="O21" i="1" s="1"/>
  <c r="E32" i="1"/>
  <c r="F32" i="1" s="1"/>
  <c r="M32" i="1" s="1"/>
  <c r="E41" i="1"/>
  <c r="F41" i="1" s="1"/>
  <c r="O41" i="1" s="1"/>
  <c r="M78" i="1"/>
  <c r="E93" i="1"/>
  <c r="F93" i="1" s="1"/>
  <c r="O93" i="1" s="1"/>
  <c r="E105" i="1"/>
  <c r="F105" i="1" s="1"/>
  <c r="M105" i="1" s="1"/>
  <c r="E114" i="1"/>
  <c r="F114" i="1" s="1"/>
  <c r="M114" i="1" s="1"/>
  <c r="E107" i="1"/>
  <c r="F107" i="1" s="1"/>
  <c r="K107" i="1" s="1"/>
  <c r="E124" i="1"/>
  <c r="F124" i="1" s="1"/>
  <c r="K124" i="1" s="1"/>
  <c r="E127" i="1"/>
  <c r="F127" i="1" s="1"/>
  <c r="O127" i="1" s="1"/>
  <c r="E53" i="1"/>
  <c r="F53" i="1" s="1"/>
  <c r="M53" i="1" s="1"/>
  <c r="K67" i="1"/>
  <c r="M82" i="1"/>
  <c r="K31" i="1"/>
  <c r="E16" i="1"/>
  <c r="F16" i="1" s="1"/>
  <c r="E20" i="1"/>
  <c r="F20" i="1" s="1"/>
  <c r="E31" i="1"/>
  <c r="F31" i="1" s="1"/>
  <c r="K63" i="1"/>
  <c r="E80" i="1"/>
  <c r="F80" i="1" s="1"/>
  <c r="O80" i="1" s="1"/>
  <c r="M90" i="1"/>
  <c r="E104" i="1"/>
  <c r="F104" i="1" s="1"/>
  <c r="E118" i="1"/>
  <c r="F118" i="1" s="1"/>
  <c r="E64" i="1"/>
  <c r="F64" i="1" s="1"/>
  <c r="O64" i="1" s="1"/>
  <c r="E74" i="1"/>
  <c r="F74" i="1" s="1"/>
  <c r="O74" i="1" s="1"/>
  <c r="E69" i="1"/>
  <c r="F69" i="1" s="1"/>
  <c r="K69" i="1" s="1"/>
  <c r="E76" i="1"/>
  <c r="F76" i="1" s="1"/>
  <c r="K76" i="1" s="1"/>
  <c r="M86" i="1"/>
  <c r="O100" i="1"/>
  <c r="E121" i="1"/>
  <c r="F121" i="1" s="1"/>
  <c r="K121" i="1" s="1"/>
  <c r="E12" i="1"/>
  <c r="F12" i="1" s="1"/>
  <c r="E26" i="1"/>
  <c r="F26" i="1" s="1"/>
  <c r="M26" i="1" s="1"/>
  <c r="K59" i="1"/>
  <c r="E71" i="1"/>
  <c r="F71" i="1" s="1"/>
  <c r="K78" i="1"/>
  <c r="E84" i="1"/>
  <c r="F84" i="1" s="1"/>
  <c r="M94" i="1"/>
  <c r="K94" i="1"/>
  <c r="E112" i="1"/>
  <c r="F112" i="1" s="1"/>
  <c r="K112" i="1" s="1"/>
  <c r="E115" i="1"/>
  <c r="F115" i="1" s="1"/>
  <c r="M115" i="1" s="1"/>
  <c r="O125" i="1"/>
  <c r="E128" i="1"/>
  <c r="F128" i="1" s="1"/>
  <c r="O128" i="1" s="1"/>
  <c r="K129" i="1"/>
  <c r="M113" i="1"/>
  <c r="M117" i="1"/>
  <c r="M125" i="1"/>
  <c r="M129" i="1"/>
  <c r="Q88" i="1" l="1"/>
  <c r="D75" i="2" s="1"/>
  <c r="O61" i="1"/>
  <c r="M35" i="1"/>
  <c r="Q68" i="1"/>
  <c r="D55" i="2" s="1"/>
  <c r="O68" i="1"/>
  <c r="K35" i="1"/>
  <c r="M68" i="1"/>
  <c r="O75" i="1"/>
  <c r="M72" i="1"/>
  <c r="Q89" i="1"/>
  <c r="D76" i="2" s="1"/>
  <c r="O112" i="1"/>
  <c r="Q27" i="1"/>
  <c r="D22" i="2" s="1"/>
  <c r="K13" i="1"/>
  <c r="M13" i="1"/>
  <c r="M75" i="1"/>
  <c r="Q82" i="1"/>
  <c r="D69" i="2" s="1"/>
  <c r="K102" i="1"/>
  <c r="C87" i="2" s="1"/>
  <c r="K61" i="1"/>
  <c r="C50" i="2" s="1"/>
  <c r="M57" i="1"/>
  <c r="Q113" i="1"/>
  <c r="D96" i="2" s="1"/>
  <c r="M106" i="1"/>
  <c r="K72" i="1"/>
  <c r="C59" i="2" s="1"/>
  <c r="K62" i="1"/>
  <c r="C51" i="2" s="1"/>
  <c r="Q36" i="1"/>
  <c r="D31" i="2" s="1"/>
  <c r="K95" i="1"/>
  <c r="Q95" i="1" s="1"/>
  <c r="D82" i="2" s="1"/>
  <c r="O95" i="1"/>
  <c r="M88" i="1"/>
  <c r="K44" i="1"/>
  <c r="Q44" i="1" s="1"/>
  <c r="D39" i="2" s="1"/>
  <c r="M62" i="1"/>
  <c r="K79" i="1"/>
  <c r="C66" i="2" s="1"/>
  <c r="M54" i="1"/>
  <c r="O83" i="1"/>
  <c r="O79" i="1"/>
  <c r="O44" i="1"/>
  <c r="M83" i="1"/>
  <c r="C60" i="2"/>
  <c r="O119" i="1"/>
  <c r="M38" i="1"/>
  <c r="M116" i="1"/>
  <c r="K119" i="1"/>
  <c r="Q119" i="1" s="1"/>
  <c r="D102" i="2" s="1"/>
  <c r="K58" i="1"/>
  <c r="C47" i="2" s="1"/>
  <c r="M17" i="1"/>
  <c r="K101" i="1"/>
  <c r="Q101" i="1" s="1"/>
  <c r="D86" i="2" s="1"/>
  <c r="M34" i="1"/>
  <c r="K91" i="1"/>
  <c r="Q91" i="1" s="1"/>
  <c r="D78" i="2" s="1"/>
  <c r="M58" i="1"/>
  <c r="C70" i="2"/>
  <c r="Q86" i="1"/>
  <c r="D73" i="2" s="1"/>
  <c r="C100" i="2"/>
  <c r="K26" i="1"/>
  <c r="C21" i="2" s="1"/>
  <c r="M112" i="1"/>
  <c r="O101" i="1"/>
  <c r="M91" i="1"/>
  <c r="Q81" i="1"/>
  <c r="D68" i="2" s="1"/>
  <c r="O116" i="1"/>
  <c r="K54" i="1"/>
  <c r="C43" i="2" s="1"/>
  <c r="C108" i="2"/>
  <c r="C99" i="2"/>
  <c r="M29" i="1"/>
  <c r="O34" i="1"/>
  <c r="K38" i="1"/>
  <c r="C33" i="2" s="1"/>
  <c r="K109" i="1"/>
  <c r="C94" i="2" s="1"/>
  <c r="O29" i="1"/>
  <c r="M102" i="1"/>
  <c r="M109" i="1"/>
  <c r="K106" i="1"/>
  <c r="Q106" i="1" s="1"/>
  <c r="D91" i="2" s="1"/>
  <c r="O88" i="1"/>
  <c r="O85" i="1"/>
  <c r="M80" i="1"/>
  <c r="Q90" i="1"/>
  <c r="D77" i="2" s="1"/>
  <c r="M124" i="1"/>
  <c r="M93" i="1"/>
  <c r="M107" i="1"/>
  <c r="O107" i="1"/>
  <c r="K85" i="1"/>
  <c r="C72" i="2" s="1"/>
  <c r="O53" i="1"/>
  <c r="Q40" i="1"/>
  <c r="D35" i="2" s="1"/>
  <c r="M92" i="1"/>
  <c r="K128" i="1"/>
  <c r="C111" i="2" s="1"/>
  <c r="M128" i="1"/>
  <c r="M74" i="1"/>
  <c r="O120" i="1"/>
  <c r="K74" i="1"/>
  <c r="Q74" i="1" s="1"/>
  <c r="D61" i="2" s="1"/>
  <c r="M64" i="1"/>
  <c r="M127" i="1"/>
  <c r="K41" i="1"/>
  <c r="C36" i="2" s="1"/>
  <c r="C49" i="2"/>
  <c r="Q60" i="1"/>
  <c r="D49" i="2" s="1"/>
  <c r="O124" i="1"/>
  <c r="K93" i="1"/>
  <c r="C80" i="2" s="1"/>
  <c r="C63" i="2"/>
  <c r="Q76" i="1"/>
  <c r="D63" i="2" s="1"/>
  <c r="O12" i="1"/>
  <c r="M12" i="1"/>
  <c r="O118" i="1"/>
  <c r="K118" i="1"/>
  <c r="O16" i="1"/>
  <c r="M16" i="1"/>
  <c r="C7" i="2"/>
  <c r="Q10" i="1"/>
  <c r="D7" i="2" s="1"/>
  <c r="C44" i="2"/>
  <c r="Q55" i="1"/>
  <c r="D44" i="2" s="1"/>
  <c r="C56" i="2"/>
  <c r="Q69" i="1"/>
  <c r="D56" i="2" s="1"/>
  <c r="C81" i="2"/>
  <c r="Q94" i="1"/>
  <c r="D81" i="2" s="1"/>
  <c r="C26" i="2"/>
  <c r="Q31" i="1"/>
  <c r="D26" i="2" s="1"/>
  <c r="O84" i="1"/>
  <c r="K84" i="1"/>
  <c r="M76" i="1"/>
  <c r="C14" i="2"/>
  <c r="Q17" i="1"/>
  <c r="D14" i="2" s="1"/>
  <c r="C46" i="2"/>
  <c r="Q57" i="1"/>
  <c r="D46" i="2" s="1"/>
  <c r="Q26" i="1"/>
  <c r="D21" i="2" s="1"/>
  <c r="K127" i="1"/>
  <c r="K80" i="1"/>
  <c r="M84" i="1"/>
  <c r="C54" i="2"/>
  <c r="Q67" i="1"/>
  <c r="D54" i="2" s="1"/>
  <c r="M41" i="1"/>
  <c r="C109" i="2"/>
  <c r="Q126" i="1"/>
  <c r="K92" i="1"/>
  <c r="C30" i="2"/>
  <c r="Q35" i="1"/>
  <c r="D30" i="2" s="1"/>
  <c r="C8" i="2"/>
  <c r="Q11" i="1"/>
  <c r="D8" i="2" s="1"/>
  <c r="Q121" i="1"/>
  <c r="D104" i="2" s="1"/>
  <c r="C104" i="2"/>
  <c r="M118" i="1"/>
  <c r="C25" i="2"/>
  <c r="Q30" i="1"/>
  <c r="D25" i="2" s="1"/>
  <c r="C23" i="2"/>
  <c r="Q28" i="1"/>
  <c r="D23" i="2" s="1"/>
  <c r="C29" i="2"/>
  <c r="Q34" i="1"/>
  <c r="D29" i="2" s="1"/>
  <c r="Q98" i="1"/>
  <c r="D83" i="2" s="1"/>
  <c r="C83" i="2"/>
  <c r="K32" i="1"/>
  <c r="K53" i="1"/>
  <c r="C88" i="2"/>
  <c r="Q103" i="1"/>
  <c r="D88" i="2" s="1"/>
  <c r="C40" i="2"/>
  <c r="Q51" i="1"/>
  <c r="D40" i="2" s="1"/>
  <c r="K104" i="1"/>
  <c r="O104" i="1"/>
  <c r="M104" i="1"/>
  <c r="C37" i="2"/>
  <c r="Q42" i="1"/>
  <c r="D37" i="2" s="1"/>
  <c r="Q129" i="1"/>
  <c r="C112" i="2"/>
  <c r="C32" i="2"/>
  <c r="Q37" i="1"/>
  <c r="D32" i="2" s="1"/>
  <c r="M120" i="1"/>
  <c r="C19" i="2"/>
  <c r="Q22" i="1"/>
  <c r="D19" i="2" s="1"/>
  <c r="C34" i="2"/>
  <c r="Q39" i="1"/>
  <c r="D34" i="2" s="1"/>
  <c r="O123" i="1"/>
  <c r="K123" i="1"/>
  <c r="O122" i="1"/>
  <c r="K122" i="1"/>
  <c r="K12" i="1"/>
  <c r="K105" i="1"/>
  <c r="O105" i="1"/>
  <c r="C65" i="2"/>
  <c r="Q78" i="1"/>
  <c r="D65" i="2" s="1"/>
  <c r="C93" i="2"/>
  <c r="Q108" i="1"/>
  <c r="D93" i="2" s="1"/>
  <c r="O76" i="1"/>
  <c r="Q124" i="1"/>
  <c r="C107" i="2"/>
  <c r="O121" i="1"/>
  <c r="K16" i="1"/>
  <c r="C20" i="2"/>
  <c r="Q25" i="1"/>
  <c r="D20" i="2" s="1"/>
  <c r="C62" i="2"/>
  <c r="Q75" i="1"/>
  <c r="D62" i="2" s="1"/>
  <c r="O114" i="1"/>
  <c r="K114" i="1"/>
  <c r="C10" i="2"/>
  <c r="Q13" i="1"/>
  <c r="D10" i="2" s="1"/>
  <c r="C92" i="2"/>
  <c r="Q107" i="1"/>
  <c r="D92" i="2" s="1"/>
  <c r="C84" i="2"/>
  <c r="Q99" i="1"/>
  <c r="D84" i="2" s="1"/>
  <c r="O32" i="1"/>
  <c r="C48" i="2"/>
  <c r="Q59" i="1"/>
  <c r="D48" i="2" s="1"/>
  <c r="M123" i="1"/>
  <c r="K21" i="1"/>
  <c r="C64" i="2"/>
  <c r="Q77" i="1"/>
  <c r="D64" i="2" s="1"/>
  <c r="M122" i="1"/>
  <c r="C15" i="2"/>
  <c r="Q18" i="1"/>
  <c r="D15" i="2" s="1"/>
  <c r="C11" i="2"/>
  <c r="Q14" i="1"/>
  <c r="D11" i="2" s="1"/>
  <c r="C41" i="2"/>
  <c r="Q52" i="1"/>
  <c r="D41" i="2" s="1"/>
  <c r="O8" i="1"/>
  <c r="M8" i="1"/>
  <c r="K8" i="1"/>
  <c r="C38" i="2"/>
  <c r="Q43" i="1"/>
  <c r="D38" i="2" s="1"/>
  <c r="Q120" i="1"/>
  <c r="D103" i="2" s="1"/>
  <c r="C103" i="2"/>
  <c r="C45" i="2"/>
  <c r="Q56" i="1"/>
  <c r="D45" i="2" s="1"/>
  <c r="C57" i="2"/>
  <c r="Q70" i="1"/>
  <c r="D57" i="2" s="1"/>
  <c r="M121" i="1"/>
  <c r="C85" i="2"/>
  <c r="Q100" i="1"/>
  <c r="D85" i="2" s="1"/>
  <c r="O71" i="1"/>
  <c r="M71" i="1"/>
  <c r="K71" i="1"/>
  <c r="O69" i="1"/>
  <c r="M69" i="1"/>
  <c r="C12" i="2"/>
  <c r="Q15" i="1"/>
  <c r="D12" i="2" s="1"/>
  <c r="O115" i="1"/>
  <c r="K115" i="1"/>
  <c r="C52" i="2"/>
  <c r="Q63" i="1"/>
  <c r="D52" i="2" s="1"/>
  <c r="Q112" i="1"/>
  <c r="D95" i="2" s="1"/>
  <c r="C95" i="2"/>
  <c r="M31" i="1"/>
  <c r="O31" i="1"/>
  <c r="O87" i="1"/>
  <c r="M87" i="1"/>
  <c r="K87" i="1"/>
  <c r="O26" i="1"/>
  <c r="O20" i="1"/>
  <c r="M20" i="1"/>
  <c r="K20" i="1"/>
  <c r="K64" i="1"/>
  <c r="M21" i="1"/>
  <c r="C24" i="2"/>
  <c r="Q29" i="1"/>
  <c r="D24" i="2" s="1"/>
  <c r="K9" i="1"/>
  <c r="C16" i="2"/>
  <c r="Q19" i="1"/>
  <c r="D16" i="2" s="1"/>
  <c r="Q62" i="1" l="1"/>
  <c r="D51" i="2" s="1"/>
  <c r="C86" i="2"/>
  <c r="C91" i="2"/>
  <c r="Q102" i="1"/>
  <c r="D87" i="2" s="1"/>
  <c r="Q61" i="1"/>
  <c r="D50" i="2" s="1"/>
  <c r="Q72" i="1"/>
  <c r="D59" i="2" s="1"/>
  <c r="C39" i="2"/>
  <c r="C82" i="2"/>
  <c r="Q38" i="1"/>
  <c r="D33" i="2" s="1"/>
  <c r="C102" i="2"/>
  <c r="Q79" i="1"/>
  <c r="D66" i="2" s="1"/>
  <c r="Q109" i="1"/>
  <c r="D94" i="2" s="1"/>
  <c r="C78" i="2"/>
  <c r="Q54" i="1"/>
  <c r="D43" i="2" s="1"/>
  <c r="Q58" i="1"/>
  <c r="D47" i="2" s="1"/>
  <c r="Q128" i="1"/>
  <c r="Q85" i="1"/>
  <c r="D72" i="2" s="1"/>
  <c r="Q93" i="1"/>
  <c r="D80" i="2" s="1"/>
  <c r="C61" i="2"/>
  <c r="Q41" i="1"/>
  <c r="D36" i="2" s="1"/>
  <c r="C106" i="2"/>
  <c r="Q123" i="1"/>
  <c r="D106" i="2" s="1"/>
  <c r="C97" i="2"/>
  <c r="Q114" i="1"/>
  <c r="D97" i="2" s="1"/>
  <c r="C67" i="2"/>
  <c r="Q80" i="1"/>
  <c r="D67" i="2" s="1"/>
  <c r="C74" i="2"/>
  <c r="Q87" i="1"/>
  <c r="D74" i="2" s="1"/>
  <c r="C89" i="2"/>
  <c r="Q104" i="1"/>
  <c r="D89" i="2" s="1"/>
  <c r="C58" i="2"/>
  <c r="Q71" i="1"/>
  <c r="D58" i="2" s="1"/>
  <c r="C110" i="2"/>
  <c r="Q127" i="1"/>
  <c r="C101" i="2"/>
  <c r="Q118" i="1"/>
  <c r="D101" i="2" s="1"/>
  <c r="C17" i="2"/>
  <c r="Q20" i="1"/>
  <c r="D17" i="2" s="1"/>
  <c r="C98" i="2"/>
  <c r="Q115" i="1"/>
  <c r="D98" i="2" s="1"/>
  <c r="C27" i="2"/>
  <c r="Q32" i="1"/>
  <c r="D27" i="2" s="1"/>
  <c r="C53" i="2"/>
  <c r="Q64" i="1"/>
  <c r="D53" i="2" s="1"/>
  <c r="C18" i="2"/>
  <c r="Q21" i="1"/>
  <c r="D18" i="2" s="1"/>
  <c r="C9" i="2"/>
  <c r="Q12" i="1"/>
  <c r="D9" i="2" s="1"/>
  <c r="C79" i="2"/>
  <c r="Q92" i="1"/>
  <c r="D79" i="2" s="1"/>
  <c r="C71" i="2"/>
  <c r="Q84" i="1"/>
  <c r="D71" i="2" s="1"/>
  <c r="C6" i="2"/>
  <c r="Q9" i="1"/>
  <c r="D6" i="2" s="1"/>
  <c r="C5" i="2"/>
  <c r="Q8" i="1"/>
  <c r="D5" i="2" s="1"/>
  <c r="C90" i="2"/>
  <c r="Q105" i="1"/>
  <c r="D90" i="2" s="1"/>
  <c r="C13" i="2"/>
  <c r="Q16" i="1"/>
  <c r="D13" i="2" s="1"/>
  <c r="C105" i="2"/>
  <c r="Q122" i="1"/>
  <c r="D105" i="2" s="1"/>
  <c r="C42" i="2"/>
  <c r="Q53" i="1"/>
  <c r="D42" i="2" s="1"/>
</calcChain>
</file>

<file path=xl/sharedStrings.xml><?xml version="1.0" encoding="utf-8"?>
<sst xmlns="http://schemas.openxmlformats.org/spreadsheetml/2006/main" count="498" uniqueCount="405">
  <si>
    <t>Capacity Factor</t>
  </si>
  <si>
    <t>Technology</t>
  </si>
  <si>
    <t>Plant</t>
  </si>
  <si>
    <t>Size (1 Unit) MW</t>
  </si>
  <si>
    <t>Electrical Efficiency</t>
  </si>
  <si>
    <t>rate r</t>
  </si>
  <si>
    <t>Capital cost (cr. ₹/MW)</t>
  </si>
  <si>
    <t>Magrinal cost</t>
  </si>
  <si>
    <t>Fixed O&amp;M (cr. ₹/MW/year)</t>
  </si>
  <si>
    <t>Variable O&amp;M (₹/MWh)</t>
  </si>
  <si>
    <t>Hot Startup cost (cr.₹/MW/startup)</t>
  </si>
  <si>
    <t>Bidding Marginal cost</t>
  </si>
  <si>
    <t>Warm Startup cost (cr.₹/MW/startup)</t>
  </si>
  <si>
    <t>Cold Startup cost (cr.₹/MW/startup)</t>
  </si>
  <si>
    <t>Bid Vol</t>
  </si>
  <si>
    <t>Coal</t>
  </si>
  <si>
    <t>210-600</t>
  </si>
  <si>
    <t>no of years</t>
  </si>
  <si>
    <t>A/P</t>
  </si>
  <si>
    <t>660-800</t>
  </si>
  <si>
    <t>Gas Power</t>
  </si>
  <si>
    <t>50-200+</t>
  </si>
  <si>
    <t>50-870</t>
  </si>
  <si>
    <t>Bio Mass</t>
  </si>
  <si>
    <t>v1</t>
  </si>
  <si>
    <t>?</t>
  </si>
  <si>
    <t>coal plant factor</t>
  </si>
  <si>
    <t>Wind Turbine onshore</t>
  </si>
  <si>
    <t>Wind turbines, offshore</t>
  </si>
  <si>
    <t>average (Fixed O&amp;M (cr. ₹/MW/year)</t>
  </si>
  <si>
    <t>Fixed Cost in  ₹/MWh</t>
  </si>
  <si>
    <t>CAPEX ( ₹/MW)</t>
  </si>
  <si>
    <t>PV</t>
  </si>
  <si>
    <t>50-150</t>
  </si>
  <si>
    <t>Annual CAPEX ( ₹/MW)</t>
  </si>
  <si>
    <t>Annual CAPEX ( ₹/MWh)</t>
  </si>
  <si>
    <t>Efficiency</t>
  </si>
  <si>
    <t>v2</t>
  </si>
  <si>
    <t>Hydro Power Plants Run-of-river without storage</t>
  </si>
  <si>
    <t>Fuel Price</t>
  </si>
  <si>
    <t>35-120</t>
  </si>
  <si>
    <t>Heat Rate</t>
  </si>
  <si>
    <t>CO2 cost</t>
  </si>
  <si>
    <t>Hydro power plants, ROR with storage</t>
  </si>
  <si>
    <t>20-250</t>
  </si>
  <si>
    <t>Profit Margin</t>
  </si>
  <si>
    <t>Add.cost in RS/MWh</t>
  </si>
  <si>
    <t>Additional Cost</t>
  </si>
  <si>
    <t>Small Hydro power plants, reservoir (&lt;25 MW)</t>
  </si>
  <si>
    <t>Variable cost</t>
  </si>
  <si>
    <t>1-5</t>
  </si>
  <si>
    <t>v3</t>
  </si>
  <si>
    <t>Coal_1</t>
  </si>
  <si>
    <t>Large Hydro power plants, reservoir (&gt;25 MW)</t>
  </si>
  <si>
    <t>35 - 200</t>
  </si>
  <si>
    <t>Hydro power plants, Pumped storage on-river</t>
  </si>
  <si>
    <t>Hydro power plants, Pumped storage closed loop</t>
  </si>
  <si>
    <t>v4</t>
  </si>
  <si>
    <t>Nuclear power plant, Pressurized heavy-water reactor</t>
  </si>
  <si>
    <t>Nuclear power plant, Light-water Reactor</t>
  </si>
  <si>
    <t>1000 - 1600</t>
  </si>
  <si>
    <t>BESS</t>
  </si>
  <si>
    <t>v5</t>
  </si>
  <si>
    <t>1-100</t>
  </si>
  <si>
    <t>v6</t>
  </si>
  <si>
    <t>v7</t>
  </si>
  <si>
    <t>v8</t>
  </si>
  <si>
    <t>v9</t>
  </si>
  <si>
    <t>v10</t>
  </si>
  <si>
    <t>v11</t>
  </si>
  <si>
    <t>Coal_2 (lignite)</t>
  </si>
  <si>
    <t>v12</t>
  </si>
  <si>
    <t>v13</t>
  </si>
  <si>
    <t>Solar</t>
  </si>
  <si>
    <t>v14</t>
  </si>
  <si>
    <t>v15</t>
  </si>
  <si>
    <t>Coal_3 (lignite)</t>
  </si>
  <si>
    <t>v16</t>
  </si>
  <si>
    <t>v17</t>
  </si>
  <si>
    <t>Wind</t>
  </si>
  <si>
    <t>v18</t>
  </si>
  <si>
    <t>v19</t>
  </si>
  <si>
    <t>Coal_4 (imported)</t>
  </si>
  <si>
    <t>v20</t>
  </si>
  <si>
    <t>Hydro</t>
  </si>
  <si>
    <t>v21</t>
  </si>
  <si>
    <t>v22</t>
  </si>
  <si>
    <t>Coal_5</t>
  </si>
  <si>
    <t>v23</t>
  </si>
  <si>
    <t>v24</t>
  </si>
  <si>
    <t>v25</t>
  </si>
  <si>
    <t>Coal_6</t>
  </si>
  <si>
    <t>v26</t>
  </si>
  <si>
    <t>v27</t>
  </si>
  <si>
    <t>Coal_7</t>
  </si>
  <si>
    <t>v28</t>
  </si>
  <si>
    <t>v29</t>
  </si>
  <si>
    <t>Nuclear</t>
  </si>
  <si>
    <t>v30</t>
  </si>
  <si>
    <t>Coal_8</t>
  </si>
  <si>
    <t>v31</t>
  </si>
  <si>
    <t>v32</t>
  </si>
  <si>
    <t>Gas Turbine</t>
  </si>
  <si>
    <t>v33</t>
  </si>
  <si>
    <t>Coal_9</t>
  </si>
  <si>
    <t>v34</t>
  </si>
  <si>
    <t>v35</t>
  </si>
  <si>
    <t>Coal_10</t>
  </si>
  <si>
    <t>v36</t>
  </si>
  <si>
    <t>v37</t>
  </si>
  <si>
    <t>v38</t>
  </si>
  <si>
    <t>v39</t>
  </si>
  <si>
    <t>Coal_11</t>
  </si>
  <si>
    <t>v40</t>
  </si>
  <si>
    <t>v41</t>
  </si>
  <si>
    <t>v42</t>
  </si>
  <si>
    <t>Coal_12</t>
  </si>
  <si>
    <t>v43</t>
  </si>
  <si>
    <t>v44</t>
  </si>
  <si>
    <t>v45</t>
  </si>
  <si>
    <t>Coal_13</t>
  </si>
  <si>
    <t>v46</t>
  </si>
  <si>
    <t>v47</t>
  </si>
  <si>
    <t>v48</t>
  </si>
  <si>
    <t>Coal_14</t>
  </si>
  <si>
    <t>v49</t>
  </si>
  <si>
    <t>v50</t>
  </si>
  <si>
    <t>v51</t>
  </si>
  <si>
    <t>Coal_15</t>
  </si>
  <si>
    <t>v52</t>
  </si>
  <si>
    <t>v53</t>
  </si>
  <si>
    <t>v54</t>
  </si>
  <si>
    <t>v55</t>
  </si>
  <si>
    <t>CCGTurbine_1</t>
  </si>
  <si>
    <t>v56</t>
  </si>
  <si>
    <t>v57</t>
  </si>
  <si>
    <t>v58</t>
  </si>
  <si>
    <t>v59</t>
  </si>
  <si>
    <t>v60</t>
  </si>
  <si>
    <t>v61</t>
  </si>
  <si>
    <t>v62</t>
  </si>
  <si>
    <t>v63</t>
  </si>
  <si>
    <t>Gas Turbine_2</t>
  </si>
  <si>
    <t>v64</t>
  </si>
  <si>
    <t>v65</t>
  </si>
  <si>
    <t>v66</t>
  </si>
  <si>
    <t>v67</t>
  </si>
  <si>
    <t>Gas Turbine_3</t>
  </si>
  <si>
    <t>v68</t>
  </si>
  <si>
    <t>v69</t>
  </si>
  <si>
    <t>Gas Turbine_4</t>
  </si>
  <si>
    <t>v70</t>
  </si>
  <si>
    <t>v71</t>
  </si>
  <si>
    <t>Gas Turbine_5</t>
  </si>
  <si>
    <t>v72</t>
  </si>
  <si>
    <t>v73</t>
  </si>
  <si>
    <t>Gas Turbine_6</t>
  </si>
  <si>
    <t>v74</t>
  </si>
  <si>
    <t>v75</t>
  </si>
  <si>
    <t>Gas Turbine_7</t>
  </si>
  <si>
    <t>v76</t>
  </si>
  <si>
    <t>Data Source</t>
  </si>
  <si>
    <t>v77</t>
  </si>
  <si>
    <t>https://drive.google.com/file/d/1HcrTbXi6cDYhCJUCOnkTY3b5tOywMZJf/view?usp=sharing</t>
  </si>
  <si>
    <t>Gas Turbine_8</t>
  </si>
  <si>
    <t>v78</t>
  </si>
  <si>
    <t>v79</t>
  </si>
  <si>
    <t>v80</t>
  </si>
  <si>
    <t>Gas Turbine_9</t>
  </si>
  <si>
    <t>v81</t>
  </si>
  <si>
    <t>v82</t>
  </si>
  <si>
    <t>Gas Turbine_10</t>
  </si>
  <si>
    <t>v83</t>
  </si>
  <si>
    <t>v84</t>
  </si>
  <si>
    <t>Hot Startup cost (cr. ₹/MW/startup)</t>
  </si>
  <si>
    <t>Warm Startup cost (cr. ₹/MW/startup)</t>
  </si>
  <si>
    <t>Codl Startup cost (cr. ₹/MW/startup)</t>
  </si>
  <si>
    <t>Variable O &amp;M Cost (₹/MWh)</t>
  </si>
  <si>
    <t>v85</t>
  </si>
  <si>
    <t>Gas Turbine_11</t>
  </si>
  <si>
    <r>
      <rPr>
        <b/>
        <sz val="14"/>
        <color theme="1"/>
        <rFont val="Aptos Narrow"/>
        <family val="2"/>
      </rPr>
      <t>Pulverized coal fired,</t>
    </r>
    <r>
      <rPr>
        <sz val="14"/>
        <color theme="1"/>
        <rFont val="Aptos Narrow"/>
        <family val="2"/>
      </rPr>
      <t xml:space="preserve"> subcritical steam process, condensing plant</t>
    </r>
  </si>
  <si>
    <t>v86</t>
  </si>
  <si>
    <t>v87</t>
  </si>
  <si>
    <t>01b Pulverized coal fired, supercritical steam process, condensing plant</t>
  </si>
  <si>
    <t>CCGTurbine_2</t>
  </si>
  <si>
    <t>v88</t>
  </si>
  <si>
    <t>01c Pulverized coal fired, ultra-supercritical steam process, condensing plant</t>
  </si>
  <si>
    <t>v89</t>
  </si>
  <si>
    <t>-</t>
  </si>
  <si>
    <t>v90</t>
  </si>
  <si>
    <t>02a Gas turbine, open cycle (large), back pressure</t>
  </si>
  <si>
    <t>CCGTurbine_3</t>
  </si>
  <si>
    <t>v91</t>
  </si>
  <si>
    <t>v92</t>
  </si>
  <si>
    <t>02b Gas turbine, combined cycle, condensing plant</t>
  </si>
  <si>
    <t>v93</t>
  </si>
  <si>
    <t>CCGTurbine_4</t>
  </si>
  <si>
    <t>02c Gas Engine</t>
  </si>
  <si>
    <t>v94</t>
  </si>
  <si>
    <t>03 Biomass plant</t>
  </si>
  <si>
    <t>v95</t>
  </si>
  <si>
    <t>CCGTurbine_5</t>
  </si>
  <si>
    <t>04 Large wind turbines on land</t>
  </si>
  <si>
    <t>v96</t>
  </si>
  <si>
    <t>v97</t>
  </si>
  <si>
    <t>05 Large wind turbines offshore</t>
  </si>
  <si>
    <t>v98</t>
  </si>
  <si>
    <t>CCGTurbine_6</t>
  </si>
  <si>
    <t>06a Photovoltaics: Large scale utility systems</t>
  </si>
  <si>
    <t>v99</t>
  </si>
  <si>
    <t>06b Photovoltaics: Rooftop System</t>
  </si>
  <si>
    <t>Source</t>
  </si>
  <si>
    <t>https://drive.google.com/file/d/1H94p2NGkwG1ykCGv09jNeb_6l2uJo5o5/view?usp=sharing</t>
  </si>
  <si>
    <t>v100</t>
  </si>
  <si>
    <t xml:space="preserve">Data as of </t>
  </si>
  <si>
    <t>Total</t>
  </si>
  <si>
    <t>CCGTurbine_8</t>
  </si>
  <si>
    <t>v101</t>
  </si>
  <si>
    <t>07a Hydro power plants, Run-of-river without storage</t>
  </si>
  <si>
    <t>GW</t>
  </si>
  <si>
    <t>BioMass</t>
  </si>
  <si>
    <t>v102</t>
  </si>
  <si>
    <t>Small Hydro</t>
  </si>
  <si>
    <t>Solar+Wind</t>
  </si>
  <si>
    <t>07b Hydro power plants, ROR with storage</t>
  </si>
  <si>
    <t>Solar/Wind</t>
  </si>
  <si>
    <t>If solar +wind =</t>
  </si>
  <si>
    <t>MW</t>
  </si>
  <si>
    <t xml:space="preserve">and Solar/Wind = </t>
  </si>
  <si>
    <t>CCGTurbine_9</t>
  </si>
  <si>
    <t>07c Small Hydro power plants, reservoir (&lt;25 MW)</t>
  </si>
  <si>
    <t>Then</t>
  </si>
  <si>
    <t>Solar =</t>
  </si>
  <si>
    <t>Wind =</t>
  </si>
  <si>
    <t xml:space="preserve">Wind = </t>
  </si>
  <si>
    <t>07d Large Hydro power plants, reservoir (&gt;25 MW)</t>
  </si>
  <si>
    <t>CCGTurbine_10</t>
  </si>
  <si>
    <t>07e Hydro power plants, Pumped storage on-river</t>
  </si>
  <si>
    <t>7f Hydro power plants, Pumped storage closed loop</t>
  </si>
  <si>
    <t>Gas Turbine_20</t>
  </si>
  <si>
    <t>08a Nuclear power plant, Pressurized heavy-water reactor</t>
  </si>
  <si>
    <t>08b Nuclear power plant, Light-water Reactor</t>
  </si>
  <si>
    <t>09 Battery storage system (Lithium-ion)</t>
  </si>
  <si>
    <t>Hydro_1</t>
  </si>
  <si>
    <t>https://drive.google.com/file/d/1hU4YMXpBnXoH4fNPDDoh5U8MwEvjewMP/view?usp=sharing</t>
  </si>
  <si>
    <t>https://ppac.gov.in/natural-gas/gas-price?page=1</t>
  </si>
  <si>
    <t>Hydro_2</t>
  </si>
  <si>
    <t>https://drive.google.com/file/d/11_-cSwfuGbUOeZDIztLrIDRQaRhIc73M/view?usp=sharing</t>
  </si>
  <si>
    <t>Gas Price</t>
  </si>
  <si>
    <t>Rs/ton</t>
  </si>
  <si>
    <t>US$/MMBTU</t>
  </si>
  <si>
    <t>1MMBtu = 1.055 GJ = 0.293 MWh</t>
  </si>
  <si>
    <t>Grade</t>
  </si>
  <si>
    <t>Hydro_3</t>
  </si>
  <si>
    <t>kCal/kg</t>
  </si>
  <si>
    <t>₹//MMBTU</t>
  </si>
  <si>
    <t>For Grade 7 Coal</t>
  </si>
  <si>
    <t>Exchange Rate 1US $ = 95.08 ₹</t>
  </si>
  <si>
    <t>between 5200 to 5500</t>
  </si>
  <si>
    <t>G1</t>
  </si>
  <si>
    <t>1 MMBtu=252,000 kcal</t>
  </si>
  <si>
    <t>Heat rate</t>
  </si>
  <si>
    <t>(MCal/MWh)</t>
  </si>
  <si>
    <t>Exceeding 7000</t>
  </si>
  <si>
    <t>Energy Content</t>
  </si>
  <si>
    <t>Hydro_4</t>
  </si>
  <si>
    <t>Energy Content(MWh per ton)</t>
  </si>
  <si>
    <t xml:space="preserve"> (kCal/kg)*1000/860000</t>
  </si>
  <si>
    <t>G2</t>
  </si>
  <si>
    <t>kCal/MWh</t>
  </si>
  <si>
    <t>MWh/ton</t>
  </si>
  <si>
    <t>G3</t>
  </si>
  <si>
    <t>Hydro_5</t>
  </si>
  <si>
    <t>G4</t>
  </si>
  <si>
    <t xml:space="preserve"> Coal cost (₹/MWh)</t>
  </si>
  <si>
    <t>Coal Price/Energy Content(MWh per ton)</t>
  </si>
  <si>
    <t>G5</t>
  </si>
  <si>
    <t>Hydro_6</t>
  </si>
  <si>
    <t>₹/MWh</t>
  </si>
  <si>
    <t>G6</t>
  </si>
  <si>
    <t>G7</t>
  </si>
  <si>
    <t>Hydro_7</t>
  </si>
  <si>
    <t>Exceeding 5200 and not exceeding 5500</t>
  </si>
  <si>
    <t>G8</t>
  </si>
  <si>
    <t>Exceeding 4900 and not exceeding 5200</t>
  </si>
  <si>
    <t>G9</t>
  </si>
  <si>
    <t>Hydro_8</t>
  </si>
  <si>
    <t>G10</t>
  </si>
  <si>
    <t>Hydro_9</t>
  </si>
  <si>
    <t>G11</t>
  </si>
  <si>
    <t>Hydro_10</t>
  </si>
  <si>
    <t>G12</t>
  </si>
  <si>
    <t>G13</t>
  </si>
  <si>
    <t>Hydro_11</t>
  </si>
  <si>
    <t>Energy Content Lignite</t>
  </si>
  <si>
    <t>G14</t>
  </si>
  <si>
    <t>G15</t>
  </si>
  <si>
    <t>Hydro_12</t>
  </si>
  <si>
    <t>For Grade 8 Coal</t>
  </si>
  <si>
    <t>between 4900 to 5200</t>
  </si>
  <si>
    <t>G16</t>
  </si>
  <si>
    <t>Hydro_13</t>
  </si>
  <si>
    <t>G17</t>
  </si>
  <si>
    <t>Hydro_14</t>
  </si>
  <si>
    <t>ST-I</t>
  </si>
  <si>
    <t>ST-II</t>
  </si>
  <si>
    <t>W-I</t>
  </si>
  <si>
    <t>https://npp.gov.in/dgrReports</t>
  </si>
  <si>
    <t>https://npp.gov.in/public-reports/cea/daily/dgr/02-07-2026/dgr1-2026-07-02.pdf</t>
  </si>
  <si>
    <t>https://npp.gov.in/public-reports/cea/daily/dgr/03-07-2026/dgr1-2026-07-03.pdf</t>
  </si>
  <si>
    <t>https://npp.gov.in/public-reports/cea/daily/dgr/01-07-2026/dgr1-2026-07-01.pdf</t>
  </si>
  <si>
    <t>Solar_1</t>
  </si>
  <si>
    <t>https://npp.gov.in/public-reports/cea/daily/dgr/04-07-2026/dgr1-2026-07-04.pdf</t>
  </si>
  <si>
    <t>https://npp.gov.in/public-reports/cea/daily/dgr/05-07-2026/dgr1-2026-07-05.pdf</t>
  </si>
  <si>
    <t>https://npp.gov.in/public-reports/cea/daily/dgr/06-07-2026/dgr1-2026-07-06.pdf</t>
  </si>
  <si>
    <t>W-II</t>
  </si>
  <si>
    <t>https://npp.gov.in/public-reports/cea/daily/dgr/07-07-2026/dgr1-2026-07-07.pdf</t>
  </si>
  <si>
    <t>https://npp.gov.in/public-reports/cea/daily/dgr/08-07-2026/dgr1-2026-07-08.pdf</t>
  </si>
  <si>
    <t>https://npp.gov.in/public-reports/cea/daily/dgr/09-07-2026/dgr1-2026-07-09.pdf</t>
  </si>
  <si>
    <t>https://npp.gov.in/public-reports/cea/daily/dgr/10-07-2026/dgr1-2026-07-10.pdf</t>
  </si>
  <si>
    <t>https://npp.gov.in/public-reports/cea/daily/dgr/11-07-2026/dgr1-2026-07-11.pdf</t>
  </si>
  <si>
    <t>https://npp.gov.in/public-reports/cea/daily/dgr/12-07-2026/dgr1-2026-07-12.pdf</t>
  </si>
  <si>
    <t>https://npp.gov.in/public-reports/cea/daily/dgr/13-07-2026/dgr1-2026-07-13.pdf</t>
  </si>
  <si>
    <t>https://npp.gov.in/public-reports/cea/daily/dgr/14-07-2026/dgr1-2026-07-14.pdf</t>
  </si>
  <si>
    <t>https://npp.gov.in/public-reports/cea/daily/dgr/15-07-2026/dgr1-2026-07-15.pdf</t>
  </si>
  <si>
    <t>W-III</t>
  </si>
  <si>
    <t>https://npp.gov.in/public-reports/cea/daily/dgr/16-07-2026/dgr1-2026-07-16.pdf</t>
  </si>
  <si>
    <t>https://npp.gov.in/public-reports/cea/daily/dgr/17-07-2026/dgr1-2026-07-17.pdf</t>
  </si>
  <si>
    <t>https://npp.gov.in/public-reports/cea/daily/dgr/18-07-2026/dgr1-2026-07-18.pdf</t>
  </si>
  <si>
    <t>https://npp.gov.in/public-reports/cea/daily/dgr/19-07-2026/dgr1-2026-07-19.pdf</t>
  </si>
  <si>
    <t>https://npp.gov.in/public-reports/cea/daily/dgr/20-07-2026/dgr1-2026-07-20.pdf</t>
  </si>
  <si>
    <t>https://npp.gov.in/public-reports/cea/daily/dgr/21-07-2026/dgr1-2026-07-21.pdf</t>
  </si>
  <si>
    <t>https://npp.gov.in/public-reports/cea/daily/dgr/22-07-2026/dgr1-2026-07-22.pdf</t>
  </si>
  <si>
    <t>https://npp.gov.in/public-reports/cea/daily/dgr/23-07-2026/dgr1-2026-07-23.pdf</t>
  </si>
  <si>
    <t>https://npp.gov.in/public-reports/cea/daily/dgr/24-07-2026/dgr1-2026-07-24.pdf</t>
  </si>
  <si>
    <t>https://npp.gov.in/public-reports/cea/daily/dgr/25-07-2026/dgr1-2026-07-25.pdf</t>
  </si>
  <si>
    <t>https://npp.gov.in/public-reports/cea/daily/dgr/26-07-2026/dgr1-2026-07-26.pdf</t>
  </si>
  <si>
    <t>https://npp.gov.in/public-reports/cea/daily/dgr/27-07-2026/dgr1-2026-07-27.pdf</t>
  </si>
  <si>
    <t>W-IV</t>
  </si>
  <si>
    <t>https://npp.gov.in/public-reports/cea/daily/dgr/28-07-2026/dgr1-2026-07-28.pdf</t>
  </si>
  <si>
    <t>https://npp.gov.in/public-reports/cea/daily/dgr/29-07-2026/dgr1-2026-07-29.pdf</t>
  </si>
  <si>
    <t>https://npp.gov.in/public-reports/cea/daily/dgr/30-07-2026/dgr1-2026-07-30.pdf</t>
  </si>
  <si>
    <t>https://npp.gov.in/public-reports/cea/daily/dgr/31-07-2026/dgr1-2026-07-31.pdf</t>
  </si>
  <si>
    <t>https://iced.niti.gov.in/energy/fuel-sources/solar/irradiance</t>
  </si>
  <si>
    <t>Solar_2</t>
  </si>
  <si>
    <t>Solar_3</t>
  </si>
  <si>
    <t>Solar_4</t>
  </si>
  <si>
    <t>Solar_5</t>
  </si>
  <si>
    <t xml:space="preserve">Source </t>
  </si>
  <si>
    <t>Solar_6</t>
  </si>
  <si>
    <t>Solar_7</t>
  </si>
  <si>
    <t>Solar_8</t>
  </si>
  <si>
    <t>Solar_9</t>
  </si>
  <si>
    <t>Solar_10</t>
  </si>
  <si>
    <t>Solar_11</t>
  </si>
  <si>
    <t>Solar_12</t>
  </si>
  <si>
    <t>Solar_13</t>
  </si>
  <si>
    <t>Solar_14</t>
  </si>
  <si>
    <t>Solar_15</t>
  </si>
  <si>
    <t>Solar_16</t>
  </si>
  <si>
    <t>Solar_17</t>
  </si>
  <si>
    <t>Solar_18</t>
  </si>
  <si>
    <t>Solar_19</t>
  </si>
  <si>
    <t>Solar_20</t>
  </si>
  <si>
    <t>Solar_21</t>
  </si>
  <si>
    <t>Solar_22</t>
  </si>
  <si>
    <t>Solar_23</t>
  </si>
  <si>
    <t>Solar_24</t>
  </si>
  <si>
    <t>Solar_25</t>
  </si>
  <si>
    <t>Solar_26</t>
  </si>
  <si>
    <t>Solar_27</t>
  </si>
  <si>
    <t>Solar_28</t>
  </si>
  <si>
    <t>Solar_29</t>
  </si>
  <si>
    <t>Nuclear_1</t>
  </si>
  <si>
    <t>Nuclear_2</t>
  </si>
  <si>
    <t>Nuclear_3</t>
  </si>
  <si>
    <t>Nuclear_4</t>
  </si>
  <si>
    <t>Nuclear_5</t>
  </si>
  <si>
    <t>Nuclear_6</t>
  </si>
  <si>
    <t>Nuclear_7</t>
  </si>
  <si>
    <t>Nuclear_8</t>
  </si>
  <si>
    <t>Nuclear_9</t>
  </si>
  <si>
    <t>Nuclear_10</t>
  </si>
  <si>
    <t>Nuclear_11</t>
  </si>
  <si>
    <t>Nuclear_12</t>
  </si>
  <si>
    <t>Wind_1</t>
  </si>
  <si>
    <t>Wind_2</t>
  </si>
  <si>
    <t>Wind_3</t>
  </si>
  <si>
    <t>Wind_4</t>
  </si>
  <si>
    <t>Wind_5</t>
  </si>
  <si>
    <t>Wind_6</t>
  </si>
  <si>
    <t>Wind_7</t>
  </si>
  <si>
    <t>Wind_8</t>
  </si>
  <si>
    <t>Wind_9</t>
  </si>
  <si>
    <t>Wind_10</t>
  </si>
  <si>
    <t>Wind_11</t>
  </si>
  <si>
    <t>Wind_12</t>
  </si>
  <si>
    <t>Wind_13</t>
  </si>
  <si>
    <t>Wind_14</t>
  </si>
  <si>
    <t>Wind_15</t>
  </si>
  <si>
    <t>Wind_16</t>
  </si>
  <si>
    <t>Wind_17</t>
  </si>
  <si>
    <t>Wind_18</t>
  </si>
  <si>
    <t>Biomass</t>
  </si>
  <si>
    <t>Marginal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</si>
</sst>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b/>
      <sz val="14"/>
      <color theme="1"/>
      <name val="Aptos Narrow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FFFFFF"/>
      <name val="Aptos Narrow"/>
      <family val="2"/>
      <scheme val="minor"/>
    </font>
    <font>
      <b/>
      <sz val="14"/>
      <color rgb="FFFFFFFF"/>
      <name val="Aptos Narrow"/>
      <family val="2"/>
    </font>
    <font>
      <sz val="11"/>
      <color rgb="FF000000"/>
      <name val="Calibri"/>
      <family val="2"/>
    </font>
    <font>
      <sz val="14"/>
      <color rgb="FF000000"/>
      <name val="&quot;Aptos Narrow&quot;"/>
    </font>
    <font>
      <u/>
      <sz val="14"/>
      <color theme="10"/>
      <name val="Aptos Narrow"/>
      <family val="2"/>
    </font>
    <font>
      <sz val="14"/>
      <name val="Aptos Narrow"/>
      <family val="2"/>
    </font>
    <font>
      <u/>
      <sz val="14"/>
      <color theme="10"/>
      <name val="Aptos Narrow"/>
      <family val="2"/>
    </font>
    <font>
      <u/>
      <sz val="14"/>
      <color theme="1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2" fontId="3" fillId="0" borderId="0" xfId="0" applyNumberFormat="1" applyFont="1"/>
    <xf numFmtId="0" fontId="6" fillId="0" borderId="0" xfId="0" applyFont="1"/>
    <xf numFmtId="9" fontId="3" fillId="0" borderId="0" xfId="0" applyNumberFormat="1" applyFont="1"/>
    <xf numFmtId="10" fontId="3" fillId="0" borderId="0" xfId="0" applyNumberFormat="1" applyFont="1"/>
    <xf numFmtId="2" fontId="2" fillId="0" borderId="0" xfId="0" applyNumberFormat="1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6" fontId="3" fillId="0" borderId="0" xfId="0" quotePrefix="1" applyNumberFormat="1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4" fontId="2" fillId="0" borderId="0" xfId="0" applyNumberFormat="1" applyFont="1"/>
    <xf numFmtId="0" fontId="3" fillId="2" borderId="1" xfId="0" applyFont="1" applyFill="1" applyBorder="1"/>
    <xf numFmtId="0" fontId="4" fillId="0" borderId="5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3" fillId="2" borderId="11" xfId="0" applyFont="1" applyFill="1" applyBorder="1" applyAlignment="1">
      <alignment wrapText="1"/>
    </xf>
    <xf numFmtId="0" fontId="3" fillId="2" borderId="11" xfId="0" applyFont="1" applyFill="1" applyBorder="1"/>
    <xf numFmtId="2" fontId="3" fillId="2" borderId="11" xfId="0" applyNumberFormat="1" applyFont="1" applyFill="1" applyBorder="1"/>
    <xf numFmtId="0" fontId="3" fillId="3" borderId="11" xfId="0" applyFont="1" applyFill="1" applyBorder="1" applyAlignment="1">
      <alignment wrapText="1"/>
    </xf>
    <xf numFmtId="0" fontId="3" fillId="3" borderId="11" xfId="0" applyFont="1" applyFill="1" applyBorder="1"/>
    <xf numFmtId="0" fontId="3" fillId="0" borderId="11" xfId="0" applyFont="1" applyBorder="1"/>
    <xf numFmtId="17" fontId="3" fillId="0" borderId="0" xfId="0" applyNumberFormat="1" applyFont="1"/>
    <xf numFmtId="0" fontId="3" fillId="2" borderId="11" xfId="0" applyFont="1" applyFill="1" applyBorder="1" applyAlignment="1">
      <alignment horizontal="center" wrapText="1"/>
    </xf>
    <xf numFmtId="0" fontId="3" fillId="4" borderId="1" xfId="0" applyFont="1" applyFill="1" applyBorder="1"/>
    <xf numFmtId="0" fontId="14" fillId="0" borderId="0" xfId="0" applyFont="1"/>
    <xf numFmtId="0" fontId="15" fillId="4" borderId="1" xfId="0" applyFont="1" applyFill="1" applyBorder="1"/>
    <xf numFmtId="0" fontId="4" fillId="2" borderId="11" xfId="0" applyFont="1" applyFill="1" applyBorder="1"/>
    <xf numFmtId="17" fontId="4" fillId="2" borderId="11" xfId="0" applyNumberFormat="1" applyFont="1" applyFill="1" applyBorder="1"/>
    <xf numFmtId="0" fontId="5" fillId="2" borderId="11" xfId="0" applyFont="1" applyFill="1" applyBorder="1"/>
    <xf numFmtId="0" fontId="0" fillId="5" borderId="0" xfId="0" applyFill="1"/>
    <xf numFmtId="0" fontId="4" fillId="5" borderId="0" xfId="0" applyFont="1" applyFill="1"/>
    <xf numFmtId="2" fontId="3" fillId="5" borderId="0" xfId="0" applyNumberFormat="1" applyFont="1" applyFill="1"/>
    <xf numFmtId="0" fontId="2" fillId="5" borderId="0" xfId="0" applyFont="1" applyFill="1"/>
    <xf numFmtId="2" fontId="5" fillId="5" borderId="0" xfId="0" applyNumberFormat="1" applyFont="1" applyFill="1"/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/>
    <xf numFmtId="0" fontId="12" fillId="2" borderId="2" xfId="0" applyFont="1" applyFill="1" applyBorder="1" applyAlignment="1">
      <alignment horizontal="center"/>
    </xf>
    <xf numFmtId="0" fontId="13" fillId="0" borderId="3" xfId="0" applyFont="1" applyBorder="1"/>
    <xf numFmtId="0" fontId="13" fillId="0" borderId="4" xfId="0" applyFont="1" applyBorder="1"/>
    <xf numFmtId="0" fontId="4" fillId="0" borderId="5" xfId="0" applyFont="1" applyBorder="1" applyAlignment="1">
      <alignment horizontal="center"/>
    </xf>
    <xf numFmtId="0" fontId="13" fillId="0" borderId="9" xfId="0" applyFont="1" applyBorder="1"/>
    <xf numFmtId="0" fontId="13" fillId="0" borderId="10" xfId="0" applyFont="1" applyBorder="1"/>
    <xf numFmtId="0" fontId="4" fillId="0" borderId="6" xfId="0" applyFont="1" applyBorder="1" applyAlignment="1">
      <alignment horizontal="center"/>
    </xf>
    <xf numFmtId="0" fontId="13" fillId="0" borderId="7" xfId="0" applyFont="1" applyBorder="1"/>
    <xf numFmtId="0" fontId="13" fillId="0" borderId="8" xfId="0" applyFont="1" applyBorder="1"/>
  </cellXfs>
  <cellStyles count="1">
    <cellStyle name="Normal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'Fixed cost calculation'!$K$8:$K$129</c:f>
              <c:numCache>
                <c:formatCode>0.00</c:formatCode>
                <c:ptCount val="114"/>
                <c:pt idx="0">
                  <c:v>3309.715482621622</c:v>
                </c:pt>
                <c:pt idx="1">
                  <c:v>3659.9795621246521</c:v>
                </c:pt>
                <c:pt idx="2">
                  <c:v>3983.1555548261085</c:v>
                </c:pt>
                <c:pt idx="3">
                  <c:v>3686.9210602002058</c:v>
                </c:pt>
                <c:pt idx="4">
                  <c:v>3709.0436584710415</c:v>
                </c:pt>
                <c:pt idx="5">
                  <c:v>3577.0891783804441</c:v>
                </c:pt>
                <c:pt idx="6">
                  <c:v>3285.469542344671</c:v>
                </c:pt>
                <c:pt idx="7">
                  <c:v>3332.7309731013347</c:v>
                </c:pt>
                <c:pt idx="8">
                  <c:v>3291.8880113693444</c:v>
                </c:pt>
                <c:pt idx="9">
                  <c:v>3333.295115841373</c:v>
                </c:pt>
                <c:pt idx="10">
                  <c:v>3439.251840815622</c:v>
                </c:pt>
                <c:pt idx="11">
                  <c:v>3385.8653351393959</c:v>
                </c:pt>
                <c:pt idx="12">
                  <c:v>3400.1062373567165</c:v>
                </c:pt>
                <c:pt idx="13">
                  <c:v>3457.1921860181619</c:v>
                </c:pt>
                <c:pt idx="14">
                  <c:v>3673.1544438395367</c:v>
                </c:pt>
                <c:pt idx="17">
                  <c:v>8305.9258118580256</c:v>
                </c:pt>
                <c:pt idx="18">
                  <c:v>10785.602942676103</c:v>
                </c:pt>
                <c:pt idx="19">
                  <c:v>10793.008906293548</c:v>
                </c:pt>
                <c:pt idx="20">
                  <c:v>8170.2830848009817</c:v>
                </c:pt>
                <c:pt idx="21">
                  <c:v>7519.3229367498398</c:v>
                </c:pt>
                <c:pt idx="22">
                  <c:v>8970.9071932693769</c:v>
                </c:pt>
                <c:pt idx="23">
                  <c:v>8257.7582206063362</c:v>
                </c:pt>
                <c:pt idx="24">
                  <c:v>8484.3358236943204</c:v>
                </c:pt>
                <c:pt idx="25">
                  <c:v>9081.0883641932614</c:v>
                </c:pt>
                <c:pt idx="26">
                  <c:v>9170.9988294014674</c:v>
                </c:pt>
                <c:pt idx="27">
                  <c:v>8794.4706835693269</c:v>
                </c:pt>
                <c:pt idx="28">
                  <c:v>8350.8184682027586</c:v>
                </c:pt>
                <c:pt idx="35">
                  <c:v>2217.1780428556262</c:v>
                </c:pt>
                <c:pt idx="36">
                  <c:v>1079.7678008813784</c:v>
                </c:pt>
                <c:pt idx="37">
                  <c:v>1934.9934501226594</c:v>
                </c:pt>
                <c:pt idx="38">
                  <c:v>2280.3857038105398</c:v>
                </c:pt>
                <c:pt idx="39">
                  <c:v>1331.6614261592288</c:v>
                </c:pt>
                <c:pt idx="40">
                  <c:v>1655.9384299923779</c:v>
                </c:pt>
                <c:pt idx="41">
                  <c:v>1776.6772878296301</c:v>
                </c:pt>
                <c:pt idx="42">
                  <c:v>1885.8928198445276</c:v>
                </c:pt>
                <c:pt idx="43">
                  <c:v>1463.3264908511992</c:v>
                </c:pt>
                <c:pt idx="44">
                  <c:v>1293.3715572906794</c:v>
                </c:pt>
                <c:pt idx="45">
                  <c:v>1685.0161367483515</c:v>
                </c:pt>
                <c:pt idx="46">
                  <c:v>2005.5246731426114</c:v>
                </c:pt>
                <c:pt idx="47">
                  <c:v>1165.6307604016808</c:v>
                </c:pt>
                <c:pt idx="48">
                  <c:v>1437.2825826443006</c:v>
                </c:pt>
                <c:pt idx="51">
                  <c:v>898.84073890712409</c:v>
                </c:pt>
                <c:pt idx="52">
                  <c:v>1202.3079437595891</c:v>
                </c:pt>
                <c:pt idx="53">
                  <c:v>938.59601843903283</c:v>
                </c:pt>
                <c:pt idx="54">
                  <c:v>980.41786996074052</c:v>
                </c:pt>
                <c:pt idx="55">
                  <c:v>947.67056685796331</c:v>
                </c:pt>
                <c:pt idx="56">
                  <c:v>950.40380665140265</c:v>
                </c:pt>
                <c:pt idx="57">
                  <c:v>946.98017928232991</c:v>
                </c:pt>
                <c:pt idx="58">
                  <c:v>858.74565795179751</c:v>
                </c:pt>
                <c:pt idx="59">
                  <c:v>964.82981764276383</c:v>
                </c:pt>
                <c:pt idx="60">
                  <c:v>840.16541308787112</c:v>
                </c:pt>
                <c:pt idx="61">
                  <c:v>975.45148972984975</c:v>
                </c:pt>
                <c:pt idx="62">
                  <c:v>882.00800139911814</c:v>
                </c:pt>
                <c:pt idx="63">
                  <c:v>925.02720693017602</c:v>
                </c:pt>
                <c:pt idx="64">
                  <c:v>879.14651988627793</c:v>
                </c:pt>
                <c:pt idx="65">
                  <c:v>886.25237551340251</c:v>
                </c:pt>
                <c:pt idx="66">
                  <c:v>976.74930634107966</c:v>
                </c:pt>
                <c:pt idx="67">
                  <c:v>852.43819091525927</c:v>
                </c:pt>
                <c:pt idx="68">
                  <c:v>868.64221143701229</c:v>
                </c:pt>
                <c:pt idx="69">
                  <c:v>978.86362606356226</c:v>
                </c:pt>
                <c:pt idx="70">
                  <c:v>910.90379529640654</c:v>
                </c:pt>
                <c:pt idx="71">
                  <c:v>876.96092428366285</c:v>
                </c:pt>
                <c:pt idx="72">
                  <c:v>892.26853684244873</c:v>
                </c:pt>
                <c:pt idx="73">
                  <c:v>958.69601942048155</c:v>
                </c:pt>
                <c:pt idx="74">
                  <c:v>984.42499516409805</c:v>
                </c:pt>
                <c:pt idx="75">
                  <c:v>906.16005788891084</c:v>
                </c:pt>
                <c:pt idx="76">
                  <c:v>843.74631265639891</c:v>
                </c:pt>
                <c:pt idx="77">
                  <c:v>951.80634090644151</c:v>
                </c:pt>
                <c:pt idx="78">
                  <c:v>920.5466736059883</c:v>
                </c:pt>
                <c:pt idx="79">
                  <c:v>918.52829467539175</c:v>
                </c:pt>
                <c:pt idx="82">
                  <c:v>3479.1572083481674</c:v>
                </c:pt>
                <c:pt idx="83">
                  <c:v>4059.1635359000384</c:v>
                </c:pt>
                <c:pt idx="84">
                  <c:v>3860.2248536494944</c:v>
                </c:pt>
                <c:pt idx="85">
                  <c:v>3860.8781174106525</c:v>
                </c:pt>
                <c:pt idx="86">
                  <c:v>3329.9763144072226</c:v>
                </c:pt>
                <c:pt idx="87">
                  <c:v>3984.4868238246313</c:v>
                </c:pt>
                <c:pt idx="88">
                  <c:v>3886.4199820469908</c:v>
                </c:pt>
                <c:pt idx="89">
                  <c:v>3424.3040694581314</c:v>
                </c:pt>
                <c:pt idx="90">
                  <c:v>3395.853688695343</c:v>
                </c:pt>
                <c:pt idx="91">
                  <c:v>3715.8564370576191</c:v>
                </c:pt>
                <c:pt idx="92">
                  <c:v>3504.95007154312</c:v>
                </c:pt>
                <c:pt idx="93">
                  <c:v>3293.9254913417549</c:v>
                </c:pt>
                <c:pt idx="96">
                  <c:v>1144.0059371939765</c:v>
                </c:pt>
                <c:pt idx="97">
                  <c:v>1402.6520476038695</c:v>
                </c:pt>
                <c:pt idx="98">
                  <c:v>1341.8660584455729</c:v>
                </c:pt>
                <c:pt idx="99">
                  <c:v>1150.7702438678225</c:v>
                </c:pt>
                <c:pt idx="100">
                  <c:v>1808.3000899938411</c:v>
                </c:pt>
                <c:pt idx="101">
                  <c:v>1243.5090062593731</c:v>
                </c:pt>
                <c:pt idx="102">
                  <c:v>848.29112022650065</c:v>
                </c:pt>
                <c:pt idx="103">
                  <c:v>1586.5722874643102</c:v>
                </c:pt>
                <c:pt idx="104">
                  <c:v>1356.5218496488228</c:v>
                </c:pt>
                <c:pt idx="105">
                  <c:v>921.01106228142203</c:v>
                </c:pt>
                <c:pt idx="106">
                  <c:v>1030.2990013604813</c:v>
                </c:pt>
                <c:pt idx="107">
                  <c:v>1235.5594838138577</c:v>
                </c:pt>
                <c:pt idx="108">
                  <c:v>768.97454419055657</c:v>
                </c:pt>
                <c:pt idx="109">
                  <c:v>623.32965416307741</c:v>
                </c:pt>
                <c:pt idx="110">
                  <c:v>492.19514971060363</c:v>
                </c:pt>
                <c:pt idx="111">
                  <c:v>1330.6824350074673</c:v>
                </c:pt>
                <c:pt idx="112">
                  <c:v>2207.046611253716</c:v>
                </c:pt>
                <c:pt idx="113">
                  <c:v>1722.0484589668049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83-4C98-A0CB-A8503E524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22159"/>
        <c:axId val="308796879"/>
      </c:scatterChart>
      <c:valAx>
        <c:axId val="40682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96879"/>
        <c:crosses val="autoZero"/>
        <c:crossBetween val="midCat"/>
      </c:valAx>
      <c:valAx>
        <c:axId val="30879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22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902370</xdr:colOff>
      <xdr:row>46</xdr:row>
      <xdr:rowOff>2007</xdr:rowOff>
    </xdr:from>
    <xdr:to>
      <xdr:col>4</xdr:col>
      <xdr:colOff>551448</xdr:colOff>
      <xdr:row>56</xdr:row>
      <xdr:rowOff>30079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1FF4E-60A6-692D-CB94-AF1D9A149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161925</xdr:colOff>
      <xdr:row>2</xdr:row>
      <xdr:rowOff>104775</xdr:rowOff>
    </xdr:from>
    <xdr:ext cx="4114800" cy="457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N9">
  <tableColumns count="14">
    <tableColumn id="1" xr3:uid="{00000000-0010-0000-0000-000001000000}" name="Technology"/>
    <tableColumn id="2" xr3:uid="{00000000-0010-0000-0000-000002000000}" name="average (Fixed O&amp;M (cr. ₹/MW/year)"/>
    <tableColumn id="3" xr3:uid="{00000000-0010-0000-0000-000003000000}" name="Fixed Cost in  ₹/MWh"/>
    <tableColumn id="4" xr3:uid="{00000000-0010-0000-0000-000004000000}" name="CAPEX ( ₹/MW)"/>
    <tableColumn id="5" xr3:uid="{00000000-0010-0000-0000-000005000000}" name="Annual CAPEX ( ₹/MW)"/>
    <tableColumn id="6" xr3:uid="{00000000-0010-0000-0000-000006000000}" name="Annual CAPEX ( ₹/MWh)"/>
    <tableColumn id="7" xr3:uid="{00000000-0010-0000-0000-000007000000}" name="Efficiency"/>
    <tableColumn id="8" xr3:uid="{00000000-0010-0000-0000-000008000000}" name="Fuel Price"/>
    <tableColumn id="9" xr3:uid="{00000000-0010-0000-0000-000009000000}" name="CO2 cost"/>
    <tableColumn id="10" xr3:uid="{00000000-0010-0000-0000-00000A000000}" name="Magrinal cost"/>
    <tableColumn id="11" xr3:uid="{00000000-0010-0000-0000-00000B000000}" name="Profit Margin"/>
    <tableColumn id="12" xr3:uid="{00000000-0010-0000-0000-00000C000000}" name="Additional Cost"/>
    <tableColumn id="13" xr3:uid="{00000000-0010-0000-0000-00000D000000}" name="Variable cost"/>
    <tableColumn id="14" xr3:uid="{00000000-0010-0000-0000-00000E000000}" name="Bidding Marginal cost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HcrTbXi6cDYhCJUCOnkTY3b5tOywMZJf/view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1_-cSwfuGbUOeZDIztLrIDRQaRhIc73M/view?usp=sharing" TargetMode="External"/><Relationship Id="rId1" Type="http://schemas.openxmlformats.org/officeDocument/2006/relationships/hyperlink" Target="https://drive.google.com/file/d/1hU4YMXpBnXoH4fNPDDoh5U8MwEvjewMP/view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ppac.gov.in/natural-gas/gas-price?page=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ced.niti.gov.in/energy/fuel-sources/solar/irradi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Q1000"/>
  <sheetViews>
    <sheetView tabSelected="1" topLeftCell="B7" zoomScale="76" workbookViewId="0">
      <pane ySplit="1" topLeftCell="A12" activePane="bottomLeft" state="frozen"/>
      <selection activeCell="A7" sqref="A7"/>
      <selection pane="bottomLeft" activeCell="K7" sqref="K1:K1048576"/>
    </sheetView>
  </sheetViews>
  <sheetFormatPr defaultColWidth="10.08203125" defaultRowHeight="15" customHeight="1"/>
  <cols>
    <col min="1" max="1" width="16.1640625" bestFit="1" customWidth="1"/>
    <col min="2" max="2" width="29.4140625" bestFit="1" customWidth="1"/>
    <col min="3" max="3" width="17.4140625" style="39" bestFit="1" customWidth="1"/>
    <col min="4" max="4" width="12.6640625" bestFit="1" customWidth="1"/>
    <col min="5" max="5" width="18.6640625" bestFit="1" customWidth="1"/>
    <col min="6" max="6" width="19.6640625" style="39" bestFit="1" customWidth="1"/>
    <col min="7" max="7" width="8.58203125" bestFit="1" customWidth="1"/>
    <col min="8" max="8" width="8.75" style="39" bestFit="1" customWidth="1"/>
    <col min="9" max="9" width="8.4140625" bestFit="1" customWidth="1"/>
    <col min="10" max="10" width="8" bestFit="1" customWidth="1"/>
    <col min="11" max="11" width="11.33203125" bestFit="1" customWidth="1"/>
    <col min="12" max="12" width="10.9140625" bestFit="1" customWidth="1"/>
    <col min="13" max="13" width="16.75" bestFit="1" customWidth="1"/>
    <col min="14" max="14" width="16.75" customWidth="1"/>
    <col min="15" max="15" width="13" bestFit="1" customWidth="1"/>
    <col min="16" max="16" width="11.08203125" bestFit="1" customWidth="1"/>
    <col min="17" max="17" width="17.83203125" bestFit="1" customWidth="1"/>
    <col min="18" max="27" width="8.5" customWidth="1"/>
  </cols>
  <sheetData>
    <row r="1" spans="1:17" ht="18" hidden="1" customHeight="1">
      <c r="A1" s="1" t="s">
        <v>0</v>
      </c>
      <c r="B1" s="1">
        <v>0.8</v>
      </c>
      <c r="C1" s="42">
        <v>0.8</v>
      </c>
    </row>
    <row r="2" spans="1:17" ht="18" hidden="1" customHeight="1">
      <c r="A2" s="1" t="s">
        <v>5</v>
      </c>
      <c r="B2" s="4">
        <v>0.1</v>
      </c>
      <c r="C2" s="43">
        <v>0.09</v>
      </c>
    </row>
    <row r="3" spans="1:17" ht="18" hidden="1" customHeight="1">
      <c r="A3" s="1" t="s">
        <v>17</v>
      </c>
      <c r="B3" s="1">
        <v>25</v>
      </c>
      <c r="C3" s="42">
        <v>25</v>
      </c>
    </row>
    <row r="4" spans="1:17" ht="18" hidden="1" customHeight="1">
      <c r="A4" s="1" t="s">
        <v>18</v>
      </c>
      <c r="B4" s="1">
        <f t="shared" ref="B4:C4" si="0">(B2*(1+B2)^B3)/((1+B2)^B3-1)</f>
        <v>0.11016807219002084</v>
      </c>
      <c r="C4" s="42">
        <f t="shared" si="0"/>
        <v>0.10180625051857181</v>
      </c>
    </row>
    <row r="5" spans="1:17" ht="18" hidden="1" customHeight="1">
      <c r="A5" s="1" t="s">
        <v>26</v>
      </c>
      <c r="B5" s="1">
        <v>0.8</v>
      </c>
      <c r="C5" s="42">
        <v>0.8</v>
      </c>
    </row>
    <row r="6" spans="1:17" ht="18" hidden="1" customHeight="1"/>
    <row r="7" spans="1:17" ht="18" customHeight="1">
      <c r="A7" s="3" t="s">
        <v>2</v>
      </c>
      <c r="B7" s="3" t="s">
        <v>29</v>
      </c>
      <c r="C7" s="40" t="s">
        <v>30</v>
      </c>
      <c r="D7" s="3" t="s">
        <v>31</v>
      </c>
      <c r="E7" s="3" t="s">
        <v>34</v>
      </c>
      <c r="F7" s="40" t="s">
        <v>35</v>
      </c>
      <c r="G7" s="3" t="s">
        <v>36</v>
      </c>
      <c r="H7" s="40" t="s">
        <v>39</v>
      </c>
      <c r="I7" s="3" t="s">
        <v>41</v>
      </c>
      <c r="J7" s="3" t="s">
        <v>42</v>
      </c>
      <c r="K7" s="3" t="s">
        <v>7</v>
      </c>
      <c r="L7" s="3" t="s">
        <v>45</v>
      </c>
      <c r="M7" s="3" t="s">
        <v>46</v>
      </c>
      <c r="N7" s="3" t="s">
        <v>404</v>
      </c>
      <c r="O7" s="3" t="s">
        <v>47</v>
      </c>
      <c r="P7" s="3" t="s">
        <v>49</v>
      </c>
      <c r="Q7" s="3" t="s">
        <v>11</v>
      </c>
    </row>
    <row r="8" spans="1:17" ht="18" customHeight="1">
      <c r="A8" s="1" t="s">
        <v>52</v>
      </c>
      <c r="B8" s="44">
        <v>0.22333333333333336</v>
      </c>
      <c r="C8" s="42">
        <f>(B8*10^7)/(8760*$B$1)</f>
        <v>318.6834094368341</v>
      </c>
      <c r="D8" s="1">
        <v>84330423</v>
      </c>
      <c r="E8" s="4">
        <f>D8*$B$4</f>
        <v>9290520.1288789939</v>
      </c>
      <c r="F8" s="41">
        <f>(E8)/(8760*$B$1)</f>
        <v>1325.7020731847879</v>
      </c>
      <c r="G8" s="12">
        <v>0.36</v>
      </c>
      <c r="H8" s="42">
        <f>ROUND(('Coal Prices'!$C$11/'Coal Prices'!$H$5)/G8*(860000/1000),2)</f>
        <v>1665.33</v>
      </c>
      <c r="I8" s="1">
        <v>0</v>
      </c>
      <c r="J8" s="1">
        <v>0</v>
      </c>
      <c r="K8" s="4">
        <f t="shared" ref="K8:K131" si="1">C8+H8+F8</f>
        <v>3309.715482621622</v>
      </c>
      <c r="L8" s="1">
        <v>0.15</v>
      </c>
      <c r="M8" s="4">
        <f t="shared" ref="M8:M22" si="2">C8+F8</f>
        <v>1644.385482621622</v>
      </c>
      <c r="N8" s="4"/>
      <c r="O8" s="4">
        <f t="shared" ref="O8:O22" si="3">ROUND((C8+F8)/1000,2)</f>
        <v>1.64</v>
      </c>
      <c r="P8" s="1">
        <f t="shared" ref="P8:P22" si="4">H8/1000</f>
        <v>1.66533</v>
      </c>
      <c r="Q8" s="4">
        <f t="shared" ref="Q8:Q22" si="5">K8+L8*K8</f>
        <v>3806.1728050148654</v>
      </c>
    </row>
    <row r="9" spans="1:17" ht="18" customHeight="1">
      <c r="A9" s="5" t="s">
        <v>70</v>
      </c>
      <c r="B9" s="45">
        <v>0.25</v>
      </c>
      <c r="C9" s="42">
        <f t="shared" ref="C9:C22" si="6">(B9*10^7)/(8760*$B$1)</f>
        <v>356.73515981735159</v>
      </c>
      <c r="D9" s="1">
        <v>83003627</v>
      </c>
      <c r="E9" s="4">
        <f t="shared" ref="E9:E22" si="7">D9*$B$4</f>
        <v>9144349.5713695623</v>
      </c>
      <c r="F9" s="41">
        <f t="shared" ref="F9:F22" si="8">(E9)/(8760*$B$1)</f>
        <v>1304.8444023073005</v>
      </c>
      <c r="G9" s="12">
        <v>0.3</v>
      </c>
      <c r="H9" s="42">
        <f>ROUND(('Coal Prices'!$C$11/'Coal Prices'!$H$5)/G9*(860000/1000),2)</f>
        <v>1998.4</v>
      </c>
      <c r="I9" s="1">
        <v>0</v>
      </c>
      <c r="J9" s="1">
        <v>0</v>
      </c>
      <c r="K9" s="4">
        <f t="shared" si="1"/>
        <v>3659.9795621246521</v>
      </c>
      <c r="L9" s="1">
        <v>0.11</v>
      </c>
      <c r="M9" s="4">
        <f t="shared" si="2"/>
        <v>1661.5795621246521</v>
      </c>
      <c r="N9" s="4"/>
      <c r="O9" s="4">
        <f t="shared" si="3"/>
        <v>1.66</v>
      </c>
      <c r="P9" s="1">
        <f t="shared" si="4"/>
        <v>1.9984000000000002</v>
      </c>
      <c r="Q9" s="4">
        <f t="shared" si="5"/>
        <v>4062.5773139583639</v>
      </c>
    </row>
    <row r="10" spans="1:17" ht="18" customHeight="1">
      <c r="A10" s="5" t="s">
        <v>76</v>
      </c>
      <c r="B10" s="45">
        <v>0.25</v>
      </c>
      <c r="C10" s="42">
        <f t="shared" si="6"/>
        <v>356.73515981735159</v>
      </c>
      <c r="D10" s="1">
        <v>83131232</v>
      </c>
      <c r="E10" s="4">
        <f t="shared" si="7"/>
        <v>9158407.5682213698</v>
      </c>
      <c r="F10" s="41">
        <f t="shared" si="8"/>
        <v>1306.850395008757</v>
      </c>
      <c r="G10" s="12">
        <v>0.28000000000000003</v>
      </c>
      <c r="H10" s="42">
        <f>ROUND(('Coal Prices'!$C$11/'Coal Prices'!$H$17)/G10*(860000/1000),2)</f>
        <v>2319.5700000000002</v>
      </c>
      <c r="I10" s="1">
        <v>0</v>
      </c>
      <c r="J10" s="1">
        <v>0</v>
      </c>
      <c r="K10" s="4">
        <f t="shared" si="1"/>
        <v>3983.1555548261085</v>
      </c>
      <c r="L10" s="1">
        <v>0.12</v>
      </c>
      <c r="M10" s="4">
        <f t="shared" si="2"/>
        <v>1663.5855548261086</v>
      </c>
      <c r="N10" s="4"/>
      <c r="O10" s="4">
        <f t="shared" si="3"/>
        <v>1.66</v>
      </c>
      <c r="P10" s="1">
        <f t="shared" si="4"/>
        <v>2.3195700000000001</v>
      </c>
      <c r="Q10" s="4">
        <f t="shared" si="5"/>
        <v>4461.134221405242</v>
      </c>
    </row>
    <row r="11" spans="1:17" ht="18" customHeight="1">
      <c r="A11" s="5" t="s">
        <v>82</v>
      </c>
      <c r="B11" s="45">
        <v>0.27</v>
      </c>
      <c r="C11" s="42">
        <f t="shared" si="6"/>
        <v>385.27397260273972</v>
      </c>
      <c r="D11" s="19">
        <v>91982617</v>
      </c>
      <c r="E11" s="4">
        <f t="shared" si="7"/>
        <v>10133547.589883039</v>
      </c>
      <c r="F11" s="41">
        <f t="shared" si="8"/>
        <v>1445.9970875974657</v>
      </c>
      <c r="G11" s="12">
        <v>0.35</v>
      </c>
      <c r="H11" s="42">
        <f>ROUND(('Coal Prices'!$C$11/'Coal Prices'!$H$17)/G11*(860000/1000),2)</f>
        <v>1855.65</v>
      </c>
      <c r="I11" s="1">
        <v>0</v>
      </c>
      <c r="J11" s="1">
        <v>0</v>
      </c>
      <c r="K11" s="4">
        <f t="shared" si="1"/>
        <v>3686.9210602002058</v>
      </c>
      <c r="L11" s="5">
        <v>0.15</v>
      </c>
      <c r="M11" s="4">
        <f t="shared" si="2"/>
        <v>1831.2710602002053</v>
      </c>
      <c r="N11" s="4"/>
      <c r="O11" s="4">
        <f t="shared" si="3"/>
        <v>1.83</v>
      </c>
      <c r="P11" s="1">
        <f t="shared" si="4"/>
        <v>1.85565</v>
      </c>
      <c r="Q11" s="4">
        <f t="shared" si="5"/>
        <v>4239.9592192302371</v>
      </c>
    </row>
    <row r="12" spans="1:17" ht="18" customHeight="1">
      <c r="A12" s="1" t="s">
        <v>87</v>
      </c>
      <c r="B12" s="44">
        <v>0.21539063877853948</v>
      </c>
      <c r="C12" s="42">
        <f t="shared" si="6"/>
        <v>307.34965579129488</v>
      </c>
      <c r="D12" s="19">
        <v>84882697</v>
      </c>
      <c r="E12" s="4">
        <f t="shared" si="7"/>
        <v>9351363.0907796659</v>
      </c>
      <c r="F12" s="41">
        <f t="shared" si="8"/>
        <v>1334.3840026797468</v>
      </c>
      <c r="G12" s="12">
        <v>0.28999999999999998</v>
      </c>
      <c r="H12" s="42">
        <f>ROUND(('Coal Prices'!$C$11/'Coal Prices'!$H$5)/G12*(860000/1000),2)</f>
        <v>2067.31</v>
      </c>
      <c r="I12" s="1">
        <v>0</v>
      </c>
      <c r="J12" s="1">
        <v>0</v>
      </c>
      <c r="K12" s="4">
        <f t="shared" si="1"/>
        <v>3709.0436584710415</v>
      </c>
      <c r="L12" s="1">
        <v>0.13</v>
      </c>
      <c r="M12" s="4">
        <f t="shared" si="2"/>
        <v>1641.7336584710417</v>
      </c>
      <c r="N12" s="4"/>
      <c r="O12" s="4">
        <f t="shared" si="3"/>
        <v>1.64</v>
      </c>
      <c r="P12" s="1">
        <f t="shared" si="4"/>
        <v>2.06731</v>
      </c>
      <c r="Q12" s="4">
        <f t="shared" si="5"/>
        <v>4191.219334072277</v>
      </c>
    </row>
    <row r="13" spans="1:17" ht="18" customHeight="1">
      <c r="A13" s="1" t="s">
        <v>91</v>
      </c>
      <c r="B13" s="44">
        <v>0.21294529343806365</v>
      </c>
      <c r="C13" s="42">
        <f t="shared" si="6"/>
        <v>303.86029314792188</v>
      </c>
      <c r="D13" s="19">
        <v>85195342</v>
      </c>
      <c r="E13" s="4">
        <f t="shared" si="7"/>
        <v>9385806.5877095144</v>
      </c>
      <c r="F13" s="41">
        <f t="shared" si="8"/>
        <v>1339.298885232522</v>
      </c>
      <c r="G13" s="12">
        <v>0.31</v>
      </c>
      <c r="H13" s="42">
        <f>ROUND(('Coal Prices'!$C$11/'Coal Prices'!$H$5)/G13*(860000/1000),2)</f>
        <v>1933.93</v>
      </c>
      <c r="I13" s="1">
        <v>0</v>
      </c>
      <c r="J13" s="1">
        <v>0</v>
      </c>
      <c r="K13" s="4">
        <f t="shared" si="1"/>
        <v>3577.0891783804441</v>
      </c>
      <c r="L13" s="1">
        <v>0.12</v>
      </c>
      <c r="M13" s="4">
        <f t="shared" si="2"/>
        <v>1643.1591783804438</v>
      </c>
      <c r="N13" s="4"/>
      <c r="O13" s="4">
        <f t="shared" si="3"/>
        <v>1.64</v>
      </c>
      <c r="P13" s="1">
        <f t="shared" si="4"/>
        <v>1.9339300000000001</v>
      </c>
      <c r="Q13" s="4">
        <f t="shared" si="5"/>
        <v>4006.3398797860973</v>
      </c>
    </row>
    <row r="14" spans="1:17" ht="18" customHeight="1">
      <c r="A14" s="1" t="s">
        <v>94</v>
      </c>
      <c r="B14" s="44">
        <v>0.25544860963061999</v>
      </c>
      <c r="C14" s="42">
        <f t="shared" si="6"/>
        <v>364.51000232679797</v>
      </c>
      <c r="D14" s="19">
        <v>85448559</v>
      </c>
      <c r="E14" s="4">
        <f t="shared" si="7"/>
        <v>9413703.0164452549</v>
      </c>
      <c r="F14" s="41">
        <f t="shared" si="8"/>
        <v>1343.2795400178732</v>
      </c>
      <c r="G14" s="20">
        <v>0.38</v>
      </c>
      <c r="H14" s="42">
        <f>ROUND(('Coal Prices'!$C$11/'Coal Prices'!$H$5)/G14*(860000/1000),2)</f>
        <v>1577.68</v>
      </c>
      <c r="I14" s="1">
        <v>0</v>
      </c>
      <c r="J14" s="1">
        <v>0</v>
      </c>
      <c r="K14" s="4">
        <f t="shared" si="1"/>
        <v>3285.469542344671</v>
      </c>
      <c r="L14" s="1">
        <v>0.13</v>
      </c>
      <c r="M14" s="4">
        <f t="shared" si="2"/>
        <v>1707.7895423446712</v>
      </c>
      <c r="N14" s="4"/>
      <c r="O14" s="4">
        <f t="shared" si="3"/>
        <v>1.71</v>
      </c>
      <c r="P14" s="1">
        <f t="shared" si="4"/>
        <v>1.57768</v>
      </c>
      <c r="Q14" s="4">
        <f t="shared" si="5"/>
        <v>3712.5805828494781</v>
      </c>
    </row>
    <row r="15" spans="1:17" ht="18" customHeight="1">
      <c r="A15" s="1" t="s">
        <v>99</v>
      </c>
      <c r="B15" s="44">
        <v>0.25424884599569098</v>
      </c>
      <c r="C15" s="42">
        <f t="shared" si="6"/>
        <v>362.79801083860008</v>
      </c>
      <c r="D15" s="19">
        <v>85851440</v>
      </c>
      <c r="E15" s="4">
        <f t="shared" si="7"/>
        <v>9458087.6395372432</v>
      </c>
      <c r="F15" s="41">
        <f t="shared" si="8"/>
        <v>1349.6129622627345</v>
      </c>
      <c r="G15" s="20">
        <v>0.37</v>
      </c>
      <c r="H15" s="42">
        <f>ROUND(('Coal Prices'!$C$11/'Coal Prices'!$H$5)/G15*(860000/1000),2)</f>
        <v>1620.32</v>
      </c>
      <c r="I15" s="1">
        <v>0</v>
      </c>
      <c r="J15" s="1">
        <v>0</v>
      </c>
      <c r="K15" s="4">
        <f t="shared" si="1"/>
        <v>3332.7309731013347</v>
      </c>
      <c r="L15" s="1">
        <v>0.13</v>
      </c>
      <c r="M15" s="4">
        <f t="shared" si="2"/>
        <v>1712.4109731013345</v>
      </c>
      <c r="N15" s="4"/>
      <c r="O15" s="4">
        <f t="shared" si="3"/>
        <v>1.71</v>
      </c>
      <c r="P15" s="1">
        <f t="shared" si="4"/>
        <v>1.62032</v>
      </c>
      <c r="Q15" s="4">
        <f t="shared" si="5"/>
        <v>3765.9859996045084</v>
      </c>
    </row>
    <row r="16" spans="1:17" ht="18" customHeight="1">
      <c r="A16" s="1" t="s">
        <v>104</v>
      </c>
      <c r="B16" s="44">
        <v>0.20581826462239927</v>
      </c>
      <c r="C16" s="42">
        <f t="shared" si="6"/>
        <v>293.69044609360628</v>
      </c>
      <c r="D16" s="19">
        <v>87649405</v>
      </c>
      <c r="E16" s="4">
        <f t="shared" si="7"/>
        <v>9656165.9774523731</v>
      </c>
      <c r="F16" s="41">
        <f t="shared" si="8"/>
        <v>1377.8775652757381</v>
      </c>
      <c r="G16" s="20">
        <v>0.37</v>
      </c>
      <c r="H16" s="42">
        <f>ROUND(('Coal Prices'!$C$11/'Coal Prices'!$H$5)/G16*(860000/1000),2)</f>
        <v>1620.32</v>
      </c>
      <c r="I16" s="1">
        <v>0</v>
      </c>
      <c r="J16" s="1">
        <v>0</v>
      </c>
      <c r="K16" s="4">
        <f t="shared" si="1"/>
        <v>3291.8880113693444</v>
      </c>
      <c r="L16" s="1">
        <v>0.13</v>
      </c>
      <c r="M16" s="4">
        <f t="shared" si="2"/>
        <v>1671.5680113693443</v>
      </c>
      <c r="N16" s="4"/>
      <c r="O16" s="4">
        <f t="shared" si="3"/>
        <v>1.67</v>
      </c>
      <c r="P16" s="1">
        <f t="shared" si="4"/>
        <v>1.62032</v>
      </c>
      <c r="Q16" s="4">
        <f t="shared" si="5"/>
        <v>3719.8334528473592</v>
      </c>
    </row>
    <row r="17" spans="1:17" ht="18" customHeight="1">
      <c r="A17" s="1" t="s">
        <v>107</v>
      </c>
      <c r="B17" s="44">
        <v>0.23013404859430295</v>
      </c>
      <c r="C17" s="42">
        <f t="shared" si="6"/>
        <v>328.38762641881129</v>
      </c>
      <c r="D17" s="19">
        <v>88076236</v>
      </c>
      <c r="E17" s="4">
        <f t="shared" si="7"/>
        <v>9703189.1258733124</v>
      </c>
      <c r="F17" s="41">
        <f t="shared" si="8"/>
        <v>1384.5874894225617</v>
      </c>
      <c r="G17" s="20">
        <v>0.37</v>
      </c>
      <c r="H17" s="42">
        <f>ROUND(('Coal Prices'!$C$11/'Coal Prices'!$H$5)/G17*(860000/1000),2)</f>
        <v>1620.32</v>
      </c>
      <c r="I17" s="1">
        <v>0</v>
      </c>
      <c r="J17" s="1">
        <v>0</v>
      </c>
      <c r="K17" s="4">
        <f t="shared" si="1"/>
        <v>3333.295115841373</v>
      </c>
      <c r="L17" s="1">
        <v>0.14000000000000001</v>
      </c>
      <c r="M17" s="4">
        <f t="shared" si="2"/>
        <v>1712.9751158413731</v>
      </c>
      <c r="N17" s="4"/>
      <c r="O17" s="4">
        <f t="shared" si="3"/>
        <v>1.71</v>
      </c>
      <c r="P17" s="1">
        <f t="shared" si="4"/>
        <v>1.62032</v>
      </c>
      <c r="Q17" s="4">
        <f t="shared" si="5"/>
        <v>3799.9564320591653</v>
      </c>
    </row>
    <row r="18" spans="1:17" ht="18" customHeight="1">
      <c r="A18" s="1" t="s">
        <v>112</v>
      </c>
      <c r="B18" s="44">
        <v>0.26014977786750026</v>
      </c>
      <c r="C18" s="42">
        <f t="shared" si="6"/>
        <v>371.2182903360449</v>
      </c>
      <c r="D18" s="19">
        <v>89228633</v>
      </c>
      <c r="E18" s="4">
        <f t="shared" si="7"/>
        <v>9830146.4817608763</v>
      </c>
      <c r="F18" s="41">
        <f t="shared" si="8"/>
        <v>1402.7035504795772</v>
      </c>
      <c r="G18" s="20">
        <v>0.36</v>
      </c>
      <c r="H18" s="42">
        <f>ROUND(('Coal Prices'!$C$11/'Coal Prices'!$H$5)/G18*(860000/1000),2)</f>
        <v>1665.33</v>
      </c>
      <c r="I18" s="1">
        <v>0</v>
      </c>
      <c r="J18" s="1">
        <v>0</v>
      </c>
      <c r="K18" s="4">
        <f t="shared" si="1"/>
        <v>3439.251840815622</v>
      </c>
      <c r="L18" s="1">
        <v>0.13</v>
      </c>
      <c r="M18" s="4">
        <f t="shared" si="2"/>
        <v>1773.9218408156221</v>
      </c>
      <c r="N18" s="4"/>
      <c r="O18" s="4">
        <f t="shared" si="3"/>
        <v>1.77</v>
      </c>
      <c r="P18" s="1">
        <f t="shared" si="4"/>
        <v>1.66533</v>
      </c>
      <c r="Q18" s="4">
        <f t="shared" si="5"/>
        <v>3886.3545801216528</v>
      </c>
    </row>
    <row r="19" spans="1:17" ht="18" customHeight="1">
      <c r="A19" s="1" t="s">
        <v>116</v>
      </c>
      <c r="B19" s="44">
        <v>0.21160168441486199</v>
      </c>
      <c r="C19" s="42">
        <f t="shared" si="6"/>
        <v>301.94304282942636</v>
      </c>
      <c r="D19" s="19">
        <v>90239346</v>
      </c>
      <c r="E19" s="4">
        <f t="shared" si="7"/>
        <v>9941494.7845082674</v>
      </c>
      <c r="F19" s="41">
        <f t="shared" si="8"/>
        <v>1418.5922923099697</v>
      </c>
      <c r="G19" s="20">
        <v>0.36</v>
      </c>
      <c r="H19" s="42">
        <f>ROUND(('Coal Prices'!$C$11/'Coal Prices'!$H$5)/G19*(860000/1000),2)</f>
        <v>1665.33</v>
      </c>
      <c r="I19" s="1">
        <v>0</v>
      </c>
      <c r="J19" s="1">
        <v>0</v>
      </c>
      <c r="K19" s="4">
        <f t="shared" si="1"/>
        <v>3385.8653351393959</v>
      </c>
      <c r="L19" s="1">
        <v>0.1</v>
      </c>
      <c r="M19" s="4">
        <f t="shared" si="2"/>
        <v>1720.535335139396</v>
      </c>
      <c r="N19" s="4"/>
      <c r="O19" s="4">
        <f t="shared" si="3"/>
        <v>1.72</v>
      </c>
      <c r="P19" s="1">
        <f t="shared" si="4"/>
        <v>1.66533</v>
      </c>
      <c r="Q19" s="4">
        <f t="shared" si="5"/>
        <v>3724.4518686533356</v>
      </c>
    </row>
    <row r="20" spans="1:17" ht="18" customHeight="1">
      <c r="A20" s="1" t="s">
        <v>120</v>
      </c>
      <c r="B20" s="44">
        <v>0.21050667764360537</v>
      </c>
      <c r="C20" s="42">
        <f t="shared" si="6"/>
        <v>300.38053316724512</v>
      </c>
      <c r="D20" s="19">
        <v>91244631</v>
      </c>
      <c r="E20" s="4">
        <f t="shared" si="7"/>
        <v>10052245.094959814</v>
      </c>
      <c r="F20" s="41">
        <f t="shared" si="8"/>
        <v>1434.3957041894712</v>
      </c>
      <c r="G20" s="20">
        <v>0.36</v>
      </c>
      <c r="H20" s="42">
        <f>ROUND(('Coal Prices'!$C$11/'Coal Prices'!$H$5)/G20*(860000/1000),2)</f>
        <v>1665.33</v>
      </c>
      <c r="I20" s="1">
        <v>0</v>
      </c>
      <c r="J20" s="1">
        <v>0</v>
      </c>
      <c r="K20" s="4">
        <f t="shared" si="1"/>
        <v>3400.1062373567165</v>
      </c>
      <c r="L20" s="1">
        <v>0.11</v>
      </c>
      <c r="M20" s="4">
        <f t="shared" si="2"/>
        <v>1734.7762373567164</v>
      </c>
      <c r="N20" s="4"/>
      <c r="O20" s="4">
        <f t="shared" si="3"/>
        <v>1.73</v>
      </c>
      <c r="P20" s="1">
        <f t="shared" si="4"/>
        <v>1.66533</v>
      </c>
      <c r="Q20" s="4">
        <f t="shared" si="5"/>
        <v>3774.1179234659553</v>
      </c>
    </row>
    <row r="21" spans="1:17" ht="18" customHeight="1">
      <c r="A21" s="1" t="s">
        <v>124</v>
      </c>
      <c r="B21" s="44">
        <v>0.2164540505846233</v>
      </c>
      <c r="C21" s="42">
        <f t="shared" si="6"/>
        <v>308.86708131367482</v>
      </c>
      <c r="D21" s="19">
        <v>91309477</v>
      </c>
      <c r="E21" s="4">
        <f t="shared" si="7"/>
        <v>10059389.053769046</v>
      </c>
      <c r="F21" s="41">
        <f t="shared" si="8"/>
        <v>1435.4151047044872</v>
      </c>
      <c r="G21" s="20">
        <v>0.35</v>
      </c>
      <c r="H21" s="42">
        <f>ROUND(('Coal Prices'!$C$11/'Coal Prices'!$H$5)/G21*(860000/1000),2)</f>
        <v>1712.91</v>
      </c>
      <c r="I21" s="1">
        <v>0</v>
      </c>
      <c r="J21" s="1">
        <v>0</v>
      </c>
      <c r="K21" s="4">
        <f t="shared" si="1"/>
        <v>3457.1921860181619</v>
      </c>
      <c r="L21" s="1">
        <v>0.13</v>
      </c>
      <c r="M21" s="4">
        <f t="shared" si="2"/>
        <v>1744.2821860181621</v>
      </c>
      <c r="N21" s="4"/>
      <c r="O21" s="4">
        <f t="shared" si="3"/>
        <v>1.74</v>
      </c>
      <c r="P21" s="1">
        <f t="shared" si="4"/>
        <v>1.7129100000000002</v>
      </c>
      <c r="Q21" s="4">
        <f t="shared" si="5"/>
        <v>3906.6271702005229</v>
      </c>
    </row>
    <row r="22" spans="1:17" ht="18" customHeight="1">
      <c r="A22" s="1" t="s">
        <v>128</v>
      </c>
      <c r="B22" s="44">
        <v>0.24784307525444366</v>
      </c>
      <c r="C22" s="42">
        <f t="shared" si="6"/>
        <v>353.65735624207144</v>
      </c>
      <c r="D22" s="19">
        <v>91982617</v>
      </c>
      <c r="E22" s="4">
        <f t="shared" si="7"/>
        <v>10133547.589883039</v>
      </c>
      <c r="F22" s="41">
        <f t="shared" si="8"/>
        <v>1445.9970875974657</v>
      </c>
      <c r="G22" s="20">
        <v>0.32</v>
      </c>
      <c r="H22" s="42">
        <f>ROUND(('Coal Prices'!$C$11/'Coal Prices'!$H$5)/G22*(860000/1000),2)</f>
        <v>1873.5</v>
      </c>
      <c r="I22" s="1">
        <v>0</v>
      </c>
      <c r="J22" s="1">
        <v>0</v>
      </c>
      <c r="K22" s="4">
        <f t="shared" si="1"/>
        <v>3673.1544438395367</v>
      </c>
      <c r="L22" s="1">
        <v>0.13</v>
      </c>
      <c r="M22" s="4">
        <f t="shared" si="2"/>
        <v>1799.6544438395372</v>
      </c>
      <c r="N22" s="4"/>
      <c r="O22" s="4">
        <f t="shared" si="3"/>
        <v>1.8</v>
      </c>
      <c r="P22" s="1">
        <f t="shared" si="4"/>
        <v>1.8734999999999999</v>
      </c>
      <c r="Q22" s="4">
        <f t="shared" si="5"/>
        <v>4150.6645215386761</v>
      </c>
    </row>
    <row r="23" spans="1:17" ht="18" customHeight="1">
      <c r="B23" s="44"/>
      <c r="E23" s="4"/>
      <c r="F23" s="41"/>
      <c r="K23" s="4"/>
      <c r="O23" s="4"/>
      <c r="Q23" s="4"/>
    </row>
    <row r="24" spans="1:17" ht="18" customHeight="1">
      <c r="A24" s="3" t="s">
        <v>102</v>
      </c>
      <c r="B24" s="44"/>
      <c r="E24" s="4"/>
      <c r="F24" s="41"/>
      <c r="K24" s="4"/>
      <c r="O24" s="4"/>
      <c r="Q24" s="4"/>
    </row>
    <row r="25" spans="1:17" ht="18" customHeight="1">
      <c r="A25" s="5" t="s">
        <v>133</v>
      </c>
      <c r="B25" s="44">
        <v>0.18000000000000002</v>
      </c>
      <c r="C25" s="42">
        <f t="shared" ref="C25:C44" si="9">(B25*10^7)/(8760*$B$1)</f>
        <v>256.84931506849318</v>
      </c>
      <c r="D25" s="21">
        <f>5*10^7</f>
        <v>50000000</v>
      </c>
      <c r="E25" s="4">
        <f t="shared" ref="E25:E36" si="10">D25*$B$4</f>
        <v>5508403.6095010415</v>
      </c>
      <c r="F25" s="41">
        <f t="shared" ref="F25:F44" si="11">(E25)/(8760*$B$1)</f>
        <v>786.0164967895322</v>
      </c>
      <c r="G25" s="5">
        <v>0.5</v>
      </c>
      <c r="H25" s="42">
        <f>ROUND(I25*'Gas Price'!$B$4/252/'Fixed cost calculation'!$G$25,2)</f>
        <v>7263.06</v>
      </c>
      <c r="I25" s="5">
        <v>1375</v>
      </c>
      <c r="J25" s="1">
        <v>0</v>
      </c>
      <c r="K25" s="4">
        <f t="shared" si="1"/>
        <v>8305.9258118580256</v>
      </c>
      <c r="L25" s="5">
        <v>0.05</v>
      </c>
      <c r="M25" s="4">
        <f t="shared" ref="M25:M44" si="12">C25+F25</f>
        <v>1042.8658118580254</v>
      </c>
      <c r="N25" s="4"/>
      <c r="O25" s="4">
        <f t="shared" ref="O25:O44" si="13">ROUND((C25+F25)/1000,2)</f>
        <v>1.04</v>
      </c>
      <c r="P25" s="1">
        <f t="shared" ref="P25:P44" si="14">H25/1000</f>
        <v>7.2630600000000003</v>
      </c>
      <c r="Q25" s="4">
        <f t="shared" ref="Q25:Q44" si="15">K25+L25*K25</f>
        <v>8721.2221024509272</v>
      </c>
    </row>
    <row r="26" spans="1:17" ht="18" hidden="1" customHeight="1">
      <c r="A26" s="1" t="s">
        <v>142</v>
      </c>
      <c r="B26" s="44"/>
      <c r="C26" s="42">
        <f t="shared" si="9"/>
        <v>0</v>
      </c>
      <c r="E26" s="4">
        <f t="shared" si="10"/>
        <v>0</v>
      </c>
      <c r="F26" s="41">
        <f t="shared" si="11"/>
        <v>0</v>
      </c>
      <c r="G26" s="1">
        <f t="shared" ref="G26:G33" ca="1" si="16">ROUND(RAND() * (0.45 - 0.28) + 0.28,2)</f>
        <v>0.41</v>
      </c>
      <c r="H26" s="42">
        <f>ROUND(I26*'Gas Price'!$B$4/252/'Fixed cost calculation'!$G$25,2)</f>
        <v>13406.28</v>
      </c>
      <c r="I26" s="1">
        <v>2538</v>
      </c>
      <c r="J26" s="1">
        <v>0</v>
      </c>
      <c r="K26" s="4">
        <f t="shared" si="1"/>
        <v>13406.28</v>
      </c>
      <c r="L26" s="5">
        <v>0.05</v>
      </c>
      <c r="M26" s="4">
        <f t="shared" si="12"/>
        <v>0</v>
      </c>
      <c r="N26" s="4"/>
      <c r="O26" s="4">
        <f t="shared" si="13"/>
        <v>0</v>
      </c>
      <c r="P26" s="1">
        <f t="shared" si="14"/>
        <v>13.406280000000001</v>
      </c>
      <c r="Q26" s="4">
        <f t="shared" si="15"/>
        <v>14076.594000000001</v>
      </c>
    </row>
    <row r="27" spans="1:17" ht="18" hidden="1" customHeight="1">
      <c r="A27" s="1" t="s">
        <v>147</v>
      </c>
      <c r="B27" s="44">
        <v>0.1</v>
      </c>
      <c r="C27" s="42">
        <f t="shared" si="9"/>
        <v>142.69406392694063</v>
      </c>
      <c r="E27" s="4">
        <f t="shared" si="10"/>
        <v>0</v>
      </c>
      <c r="F27" s="41">
        <f t="shared" si="11"/>
        <v>0</v>
      </c>
      <c r="G27" s="1">
        <f t="shared" ca="1" si="16"/>
        <v>0.44</v>
      </c>
      <c r="H27" s="42">
        <f>ROUND(I27*'Gas Price'!$B$4/252/'Fixed cost calculation'!$G$25,2)</f>
        <v>13474.95</v>
      </c>
      <c r="I27" s="1">
        <v>2551</v>
      </c>
      <c r="J27" s="1">
        <v>0</v>
      </c>
      <c r="K27" s="4">
        <f t="shared" si="1"/>
        <v>13617.644063926942</v>
      </c>
      <c r="L27" s="5">
        <v>0.05</v>
      </c>
      <c r="M27" s="4">
        <f t="shared" si="12"/>
        <v>142.69406392694063</v>
      </c>
      <c r="N27" s="4"/>
      <c r="O27" s="4">
        <f t="shared" si="13"/>
        <v>0.14000000000000001</v>
      </c>
      <c r="P27" s="1">
        <f t="shared" si="14"/>
        <v>13.474950000000002</v>
      </c>
      <c r="Q27" s="4">
        <f t="shared" si="15"/>
        <v>14298.526267123289</v>
      </c>
    </row>
    <row r="28" spans="1:17" ht="18" hidden="1" customHeight="1">
      <c r="A28" s="1" t="s">
        <v>150</v>
      </c>
      <c r="B28" s="44"/>
      <c r="C28" s="42">
        <f t="shared" si="9"/>
        <v>0</v>
      </c>
      <c r="E28" s="4">
        <f t="shared" si="10"/>
        <v>0</v>
      </c>
      <c r="F28" s="41">
        <f t="shared" si="11"/>
        <v>0</v>
      </c>
      <c r="G28" s="1">
        <f t="shared" ca="1" si="16"/>
        <v>0.36</v>
      </c>
      <c r="H28" s="42">
        <f>ROUND(I28*'Gas Price'!$B$4/252/'Fixed cost calculation'!$G$25,2)</f>
        <v>10759.89</v>
      </c>
      <c r="I28" s="1">
        <v>2037</v>
      </c>
      <c r="J28" s="1">
        <v>0</v>
      </c>
      <c r="K28" s="4">
        <f t="shared" si="1"/>
        <v>10759.89</v>
      </c>
      <c r="L28" s="5">
        <v>0.05</v>
      </c>
      <c r="M28" s="4">
        <f t="shared" si="12"/>
        <v>0</v>
      </c>
      <c r="N28" s="4"/>
      <c r="O28" s="4">
        <f t="shared" si="13"/>
        <v>0</v>
      </c>
      <c r="P28" s="1">
        <f t="shared" si="14"/>
        <v>10.759889999999999</v>
      </c>
      <c r="Q28" s="4">
        <f t="shared" si="15"/>
        <v>11297.8845</v>
      </c>
    </row>
    <row r="29" spans="1:17" ht="18" hidden="1" customHeight="1">
      <c r="A29" s="1" t="s">
        <v>153</v>
      </c>
      <c r="B29" s="44"/>
      <c r="C29" s="42">
        <f t="shared" si="9"/>
        <v>0</v>
      </c>
      <c r="E29" s="4">
        <f t="shared" si="10"/>
        <v>0</v>
      </c>
      <c r="F29" s="41">
        <f t="shared" si="11"/>
        <v>0</v>
      </c>
      <c r="G29" s="1">
        <f t="shared" ca="1" si="16"/>
        <v>0.44</v>
      </c>
      <c r="H29" s="42">
        <f>ROUND(I29*'Gas Price'!$B$4/252/'Fixed cost calculation'!$G$25,2)</f>
        <v>14489.14</v>
      </c>
      <c r="I29" s="1">
        <v>2743</v>
      </c>
      <c r="J29" s="1">
        <v>0</v>
      </c>
      <c r="K29" s="4">
        <f t="shared" si="1"/>
        <v>14489.14</v>
      </c>
      <c r="L29" s="5">
        <v>0.05</v>
      </c>
      <c r="M29" s="4">
        <f t="shared" si="12"/>
        <v>0</v>
      </c>
      <c r="N29" s="4"/>
      <c r="O29" s="4">
        <f t="shared" si="13"/>
        <v>0</v>
      </c>
      <c r="P29" s="1">
        <f t="shared" si="14"/>
        <v>14.489139999999999</v>
      </c>
      <c r="Q29" s="4">
        <f t="shared" si="15"/>
        <v>15213.597</v>
      </c>
    </row>
    <row r="30" spans="1:17" ht="18" hidden="1" customHeight="1">
      <c r="A30" s="1" t="s">
        <v>156</v>
      </c>
      <c r="B30" s="44">
        <v>0.371</v>
      </c>
      <c r="C30" s="42">
        <f t="shared" si="9"/>
        <v>529.39497716894982</v>
      </c>
      <c r="E30" s="4">
        <f t="shared" si="10"/>
        <v>0</v>
      </c>
      <c r="F30" s="41">
        <f t="shared" si="11"/>
        <v>0</v>
      </c>
      <c r="G30" s="1">
        <f t="shared" ca="1" si="16"/>
        <v>0.32</v>
      </c>
      <c r="H30" s="42">
        <f>ROUND(I30*'Gas Price'!$B$4/252/'Fixed cost calculation'!$G$25,2)</f>
        <v>14504.98</v>
      </c>
      <c r="I30" s="1">
        <v>2746</v>
      </c>
      <c r="J30" s="1">
        <v>0</v>
      </c>
      <c r="K30" s="4">
        <f t="shared" si="1"/>
        <v>15034.374977168949</v>
      </c>
      <c r="L30" s="5">
        <v>0.05</v>
      </c>
      <c r="M30" s="4">
        <f t="shared" si="12"/>
        <v>529.39497716894982</v>
      </c>
      <c r="N30" s="4"/>
      <c r="O30" s="4">
        <f t="shared" si="13"/>
        <v>0.53</v>
      </c>
      <c r="P30" s="1">
        <f t="shared" si="14"/>
        <v>14.50498</v>
      </c>
      <c r="Q30" s="4">
        <f t="shared" si="15"/>
        <v>15786.093726027397</v>
      </c>
    </row>
    <row r="31" spans="1:17" ht="18" hidden="1" customHeight="1">
      <c r="A31" s="1" t="s">
        <v>159</v>
      </c>
      <c r="B31" s="44"/>
      <c r="C31" s="42">
        <f t="shared" si="9"/>
        <v>0</v>
      </c>
      <c r="E31" s="4">
        <f t="shared" si="10"/>
        <v>0</v>
      </c>
      <c r="F31" s="41">
        <f t="shared" si="11"/>
        <v>0</v>
      </c>
      <c r="G31" s="1">
        <f t="shared" ca="1" si="16"/>
        <v>0.35</v>
      </c>
      <c r="H31" s="42">
        <f>ROUND(I31*'Gas Price'!$B$4/252/'Fixed cost calculation'!$G$25,2)</f>
        <v>10601.42</v>
      </c>
      <c r="I31" s="1">
        <v>2007</v>
      </c>
      <c r="J31" s="1">
        <v>0</v>
      </c>
      <c r="K31" s="4">
        <f t="shared" si="1"/>
        <v>10601.42</v>
      </c>
      <c r="L31" s="5">
        <v>0.05</v>
      </c>
      <c r="M31" s="4">
        <f t="shared" si="12"/>
        <v>0</v>
      </c>
      <c r="N31" s="4"/>
      <c r="O31" s="4">
        <f t="shared" si="13"/>
        <v>0</v>
      </c>
      <c r="P31" s="1">
        <f t="shared" si="14"/>
        <v>10.601420000000001</v>
      </c>
      <c r="Q31" s="4">
        <f t="shared" si="15"/>
        <v>11131.491</v>
      </c>
    </row>
    <row r="32" spans="1:17" ht="18" hidden="1" customHeight="1">
      <c r="A32" s="1" t="s">
        <v>164</v>
      </c>
      <c r="B32" s="44">
        <v>4.2999999999999997E-2</v>
      </c>
      <c r="C32" s="42">
        <f t="shared" si="9"/>
        <v>61.358447488584467</v>
      </c>
      <c r="E32" s="4">
        <f t="shared" si="10"/>
        <v>0</v>
      </c>
      <c r="F32" s="41">
        <f t="shared" si="11"/>
        <v>0</v>
      </c>
      <c r="G32" s="1">
        <f t="shared" ca="1" si="16"/>
        <v>0.39</v>
      </c>
      <c r="H32" s="42">
        <f>ROUND(I32*'Gas Price'!$B$4/252/'Fixed cost calculation'!$G$25,2)</f>
        <v>13797.16</v>
      </c>
      <c r="I32" s="1">
        <v>2612</v>
      </c>
      <c r="J32" s="1">
        <v>0</v>
      </c>
      <c r="K32" s="4">
        <f t="shared" si="1"/>
        <v>13858.518447488585</v>
      </c>
      <c r="L32" s="5">
        <v>0.05</v>
      </c>
      <c r="M32" s="4">
        <f t="shared" si="12"/>
        <v>61.358447488584467</v>
      </c>
      <c r="N32" s="4"/>
      <c r="O32" s="4">
        <f t="shared" si="13"/>
        <v>0.06</v>
      </c>
      <c r="P32" s="1">
        <f t="shared" si="14"/>
        <v>13.79716</v>
      </c>
      <c r="Q32" s="4">
        <f t="shared" si="15"/>
        <v>14551.444369863013</v>
      </c>
    </row>
    <row r="33" spans="1:17" ht="18" hidden="1" customHeight="1">
      <c r="A33" s="1" t="s">
        <v>168</v>
      </c>
      <c r="B33" s="44"/>
      <c r="C33" s="42">
        <f t="shared" si="9"/>
        <v>0</v>
      </c>
      <c r="E33" s="4">
        <f t="shared" si="10"/>
        <v>0</v>
      </c>
      <c r="F33" s="41">
        <f t="shared" si="11"/>
        <v>0</v>
      </c>
      <c r="G33" s="1">
        <f t="shared" ca="1" si="16"/>
        <v>0.4</v>
      </c>
      <c r="H33" s="42">
        <f>ROUND(I33*'Gas Price'!$B$4/252/'Fixed cost calculation'!$G$25,2)</f>
        <v>15809.69</v>
      </c>
      <c r="I33" s="1">
        <v>2993</v>
      </c>
      <c r="J33" s="1">
        <v>0</v>
      </c>
      <c r="K33" s="4">
        <f t="shared" si="1"/>
        <v>15809.69</v>
      </c>
      <c r="L33" s="5">
        <v>0.05</v>
      </c>
      <c r="M33" s="4">
        <f t="shared" si="12"/>
        <v>0</v>
      </c>
      <c r="N33" s="4"/>
      <c r="O33" s="4">
        <f t="shared" si="13"/>
        <v>0</v>
      </c>
      <c r="P33" s="1">
        <f t="shared" si="14"/>
        <v>15.80969</v>
      </c>
      <c r="Q33" s="4">
        <f t="shared" si="15"/>
        <v>16600.174500000001</v>
      </c>
    </row>
    <row r="34" spans="1:17" ht="18" customHeight="1">
      <c r="A34" s="1" t="s">
        <v>171</v>
      </c>
      <c r="B34" s="44">
        <v>0.15017450598885762</v>
      </c>
      <c r="C34" s="42">
        <f t="shared" si="9"/>
        <v>214.29010557770778</v>
      </c>
      <c r="D34" s="1">
        <f t="shared" ref="D34:D35" ca="1" si="17">RANDBETWEEN(4.1*10^7,5*10^7)</f>
        <v>44790589</v>
      </c>
      <c r="E34" s="4">
        <f t="shared" ca="1" si="10"/>
        <v>4934492.8423855528</v>
      </c>
      <c r="F34" s="41">
        <f t="shared" ca="1" si="11"/>
        <v>704.12283709839505</v>
      </c>
      <c r="G34" s="5">
        <v>0.5</v>
      </c>
      <c r="H34" s="42">
        <f>ROUND(I34*'Gas Price'!$B$4/252/'Fixed cost calculation'!$G$25,2)</f>
        <v>9867.19</v>
      </c>
      <c r="I34" s="5">
        <v>1868</v>
      </c>
      <c r="J34" s="1">
        <v>0</v>
      </c>
      <c r="K34" s="4">
        <f t="shared" ca="1" si="1"/>
        <v>10785.602942676103</v>
      </c>
      <c r="L34" s="5">
        <v>0.05</v>
      </c>
      <c r="M34" s="4">
        <f t="shared" ca="1" si="12"/>
        <v>918.41294267610283</v>
      </c>
      <c r="N34" s="4"/>
      <c r="O34" s="4">
        <f t="shared" ca="1" si="13"/>
        <v>0.92</v>
      </c>
      <c r="P34" s="1">
        <f t="shared" si="14"/>
        <v>9.8671900000000008</v>
      </c>
      <c r="Q34" s="4">
        <f t="shared" ca="1" si="15"/>
        <v>11324.883089809908</v>
      </c>
    </row>
    <row r="35" spans="1:17" ht="18" customHeight="1">
      <c r="A35" s="1" t="s">
        <v>179</v>
      </c>
      <c r="B35" s="44">
        <v>0.108262345178383</v>
      </c>
      <c r="C35" s="42">
        <f t="shared" si="9"/>
        <v>154.48394003764699</v>
      </c>
      <c r="D35" s="1">
        <f t="shared" ca="1" si="17"/>
        <v>49066080</v>
      </c>
      <c r="E35" s="4">
        <f t="shared" ca="1" si="10"/>
        <v>5405515.4435213376</v>
      </c>
      <c r="F35" s="41">
        <f t="shared" ca="1" si="11"/>
        <v>771.33496625589862</v>
      </c>
      <c r="G35" s="5">
        <v>0.5</v>
      </c>
      <c r="H35" s="42">
        <f>ROUND(I35*'Gas Price'!$B$4/252/'Fixed cost calculation'!$G$25,2)</f>
        <v>9867.19</v>
      </c>
      <c r="I35" s="5">
        <v>1868</v>
      </c>
      <c r="J35" s="1">
        <v>0</v>
      </c>
      <c r="K35" s="4">
        <f t="shared" ca="1" si="1"/>
        <v>10793.008906293548</v>
      </c>
      <c r="L35" s="5">
        <v>0.05</v>
      </c>
      <c r="M35" s="4">
        <f t="shared" ca="1" si="12"/>
        <v>925.81890629354564</v>
      </c>
      <c r="N35" s="4"/>
      <c r="O35" s="4">
        <f t="shared" ca="1" si="13"/>
        <v>0.93</v>
      </c>
      <c r="P35" s="1">
        <f t="shared" si="14"/>
        <v>9.8671900000000008</v>
      </c>
      <c r="Q35" s="4">
        <f t="shared" ca="1" si="15"/>
        <v>11332.659351608225</v>
      </c>
    </row>
    <row r="36" spans="1:17" ht="18" customHeight="1">
      <c r="A36" s="5" t="s">
        <v>184</v>
      </c>
      <c r="B36" s="44">
        <v>8.1504159613392288E-2</v>
      </c>
      <c r="C36" s="42">
        <f t="shared" si="9"/>
        <v>116.30159762184974</v>
      </c>
      <c r="D36" s="1">
        <f ca="1">RANDBETWEEN(4.1*10^7,4.5*10^7)</f>
        <v>43592055</v>
      </c>
      <c r="E36" s="4">
        <f t="shared" ca="1" si="10"/>
        <v>4802452.662151359</v>
      </c>
      <c r="F36" s="41">
        <f t="shared" ca="1" si="11"/>
        <v>685.28148717913223</v>
      </c>
      <c r="G36" s="1">
        <v>0.43</v>
      </c>
      <c r="H36" s="42">
        <f>ROUND(I36*'Gas Price'!$B$4/252/'Fixed cost calculation'!$G$25,2)</f>
        <v>7368.7</v>
      </c>
      <c r="I36" s="5">
        <v>1395</v>
      </c>
      <c r="J36" s="1">
        <v>0</v>
      </c>
      <c r="K36" s="4">
        <f t="shared" ca="1" si="1"/>
        <v>8170.2830848009817</v>
      </c>
      <c r="L36" s="5">
        <v>0.05</v>
      </c>
      <c r="M36" s="4">
        <f t="shared" ca="1" si="12"/>
        <v>801.58308480098196</v>
      </c>
      <c r="N36" s="4"/>
      <c r="O36" s="4">
        <f t="shared" ca="1" si="13"/>
        <v>0.8</v>
      </c>
      <c r="P36" s="1">
        <f t="shared" si="14"/>
        <v>7.3686999999999996</v>
      </c>
      <c r="Q36" s="4">
        <f t="shared" ca="1" si="15"/>
        <v>8578.7972390410305</v>
      </c>
    </row>
    <row r="37" spans="1:17" ht="18" customHeight="1">
      <c r="A37" s="5" t="s">
        <v>191</v>
      </c>
      <c r="B37" s="45">
        <v>0.05</v>
      </c>
      <c r="C37" s="42">
        <f t="shared" si="9"/>
        <v>71.347031963470315</v>
      </c>
      <c r="D37" s="5">
        <v>40000000</v>
      </c>
      <c r="E37" s="4">
        <f>D37*$C$4</f>
        <v>4072250.0207428723</v>
      </c>
      <c r="F37" s="41">
        <f t="shared" si="11"/>
        <v>581.08590478636881</v>
      </c>
      <c r="G37" s="1">
        <v>0.38</v>
      </c>
      <c r="H37" s="42">
        <f>ROUND(I37*'Gas Price'!$B$4/252/'Fixed cost calculation'!$G$25,2)</f>
        <v>6866.89</v>
      </c>
      <c r="I37" s="5">
        <v>1300</v>
      </c>
      <c r="J37" s="1">
        <v>0</v>
      </c>
      <c r="K37" s="4">
        <f t="shared" si="1"/>
        <v>7519.3229367498398</v>
      </c>
      <c r="L37" s="5">
        <v>0.02</v>
      </c>
      <c r="M37" s="4">
        <f t="shared" si="12"/>
        <v>652.43293674983909</v>
      </c>
      <c r="N37" s="4"/>
      <c r="O37" s="4">
        <f t="shared" si="13"/>
        <v>0.65</v>
      </c>
      <c r="P37" s="1">
        <f t="shared" si="14"/>
        <v>6.8668900000000006</v>
      </c>
      <c r="Q37" s="4">
        <f t="shared" si="15"/>
        <v>7669.7093954848369</v>
      </c>
    </row>
    <row r="38" spans="1:17" ht="18" customHeight="1">
      <c r="A38" s="5" t="s">
        <v>196</v>
      </c>
      <c r="B38" s="44">
        <v>0.17273551579478463</v>
      </c>
      <c r="C38" s="42">
        <f t="shared" si="9"/>
        <v>246.4833273327406</v>
      </c>
      <c r="D38" s="1">
        <f t="shared" ref="D38:D44" ca="1" si="18">RANDBETWEEN(4.1*10^7,4.5*10^7)</f>
        <v>42558513</v>
      </c>
      <c r="E38" s="4">
        <f t="shared" ref="E38:E44" ca="1" si="19">D38*$B$4</f>
        <v>4688589.3324839408</v>
      </c>
      <c r="F38" s="41">
        <f t="shared" ca="1" si="11"/>
        <v>669.03386593663538</v>
      </c>
      <c r="G38" s="1">
        <v>0.41</v>
      </c>
      <c r="H38" s="42">
        <f>ROUND(I38*'Gas Price'!$B$4/252/'Fixed cost calculation'!$G$25,2)</f>
        <v>8055.39</v>
      </c>
      <c r="I38" s="1">
        <v>1525</v>
      </c>
      <c r="J38" s="1">
        <v>0</v>
      </c>
      <c r="K38" s="4">
        <f t="shared" ca="1" si="1"/>
        <v>8970.9071932693769</v>
      </c>
      <c r="L38" s="5">
        <v>0.05</v>
      </c>
      <c r="M38" s="4">
        <f t="shared" ca="1" si="12"/>
        <v>915.51719326937598</v>
      </c>
      <c r="N38" s="4"/>
      <c r="O38" s="4">
        <f t="shared" ca="1" si="13"/>
        <v>0.92</v>
      </c>
      <c r="P38" s="1">
        <f t="shared" si="14"/>
        <v>8.0553900000000009</v>
      </c>
      <c r="Q38" s="4">
        <f t="shared" ca="1" si="15"/>
        <v>9419.4525529328457</v>
      </c>
    </row>
    <row r="39" spans="1:17" ht="18" customHeight="1">
      <c r="A39" s="5" t="s">
        <v>201</v>
      </c>
      <c r="B39" s="44">
        <v>9.3666905959003718E-2</v>
      </c>
      <c r="C39" s="42">
        <f t="shared" si="9"/>
        <v>133.65711466752813</v>
      </c>
      <c r="D39" s="1">
        <f t="shared" ca="1" si="18"/>
        <v>41668407</v>
      </c>
      <c r="E39" s="4">
        <f t="shared" ca="1" si="19"/>
        <v>4590528.07041917</v>
      </c>
      <c r="F39" s="41">
        <f t="shared" ca="1" si="11"/>
        <v>655.04110593880853</v>
      </c>
      <c r="G39" s="1">
        <v>0.34</v>
      </c>
      <c r="H39" s="42">
        <f>ROUND(I39*'Gas Price'!$B$4/252/'Fixed cost calculation'!$G$25,2)</f>
        <v>7469.06</v>
      </c>
      <c r="I39" s="1">
        <v>1414</v>
      </c>
      <c r="J39" s="1">
        <v>0</v>
      </c>
      <c r="K39" s="4">
        <f t="shared" ca="1" si="1"/>
        <v>8257.7582206063362</v>
      </c>
      <c r="L39" s="5">
        <v>0.05</v>
      </c>
      <c r="M39" s="4">
        <f t="shared" ca="1" si="12"/>
        <v>788.69822060633669</v>
      </c>
      <c r="N39" s="4"/>
      <c r="O39" s="4">
        <f t="shared" ca="1" si="13"/>
        <v>0.79</v>
      </c>
      <c r="P39" s="1">
        <f t="shared" si="14"/>
        <v>7.4690600000000007</v>
      </c>
      <c r="Q39" s="4">
        <f t="shared" ca="1" si="15"/>
        <v>8670.6461316366531</v>
      </c>
    </row>
    <row r="40" spans="1:17" ht="18" customHeight="1">
      <c r="A40" s="5" t="s">
        <v>207</v>
      </c>
      <c r="B40" s="44">
        <v>0.128827172043399</v>
      </c>
      <c r="C40" s="42">
        <f t="shared" si="9"/>
        <v>183.82872723087758</v>
      </c>
      <c r="D40" s="1">
        <f t="shared" ca="1" si="18"/>
        <v>41465230</v>
      </c>
      <c r="E40" s="4">
        <f t="shared" ca="1" si="19"/>
        <v>4568144.4520158181</v>
      </c>
      <c r="F40" s="41">
        <f t="shared" ca="1" si="11"/>
        <v>651.84709646344436</v>
      </c>
      <c r="G40" s="1">
        <v>0.39</v>
      </c>
      <c r="H40" s="42">
        <f>ROUND(I40*'Gas Price'!$B$4/252/'Fixed cost calculation'!$G$25,2)</f>
        <v>7648.66</v>
      </c>
      <c r="I40" s="1">
        <v>1448</v>
      </c>
      <c r="J40" s="1">
        <v>0</v>
      </c>
      <c r="K40" s="4">
        <f t="shared" ca="1" si="1"/>
        <v>8484.3358236943204</v>
      </c>
      <c r="L40" s="5">
        <v>0.05</v>
      </c>
      <c r="M40" s="4">
        <f t="shared" ca="1" si="12"/>
        <v>835.67582369432193</v>
      </c>
      <c r="N40" s="4"/>
      <c r="O40" s="4">
        <f t="shared" ca="1" si="13"/>
        <v>0.84</v>
      </c>
      <c r="P40" s="1">
        <f t="shared" si="14"/>
        <v>7.6486599999999996</v>
      </c>
      <c r="Q40" s="4">
        <f t="shared" ca="1" si="15"/>
        <v>8908.5526148790359</v>
      </c>
    </row>
    <row r="41" spans="1:17" ht="18" customHeight="1">
      <c r="A41" s="5" t="s">
        <v>216</v>
      </c>
      <c r="B41" s="44">
        <v>0.13744339836004368</v>
      </c>
      <c r="C41" s="42">
        <f t="shared" si="9"/>
        <v>196.12357071924043</v>
      </c>
      <c r="D41" s="1">
        <f t="shared" ca="1" si="18"/>
        <v>44034368</v>
      </c>
      <c r="E41" s="4">
        <f t="shared" ca="1" si="19"/>
        <v>4851181.4326659432</v>
      </c>
      <c r="F41" s="41">
        <f t="shared" ca="1" si="11"/>
        <v>692.23479347402156</v>
      </c>
      <c r="G41" s="1">
        <v>0.3</v>
      </c>
      <c r="H41" s="42">
        <f>ROUND(I41*'Gas Price'!$B$4/252/'Fixed cost calculation'!$G$25,2)</f>
        <v>8192.73</v>
      </c>
      <c r="I41" s="1">
        <v>1551</v>
      </c>
      <c r="J41" s="1">
        <v>0</v>
      </c>
      <c r="K41" s="4">
        <f t="shared" ca="1" si="1"/>
        <v>9081.0883641932614</v>
      </c>
      <c r="L41" s="5">
        <v>5.00000000000001E-2</v>
      </c>
      <c r="M41" s="4">
        <f t="shared" ca="1" si="12"/>
        <v>888.35836419326199</v>
      </c>
      <c r="N41" s="4"/>
      <c r="O41" s="4">
        <f t="shared" ca="1" si="13"/>
        <v>0.89</v>
      </c>
      <c r="P41" s="1">
        <f t="shared" si="14"/>
        <v>8.1927299999999992</v>
      </c>
      <c r="Q41" s="4">
        <f t="shared" ca="1" si="15"/>
        <v>9535.1427824029251</v>
      </c>
    </row>
    <row r="42" spans="1:17" ht="18" customHeight="1">
      <c r="A42" s="5" t="s">
        <v>229</v>
      </c>
      <c r="B42" s="44">
        <v>7.5158474463487113E-2</v>
      </c>
      <c r="C42" s="42">
        <f t="shared" si="9"/>
        <v>107.24668159744166</v>
      </c>
      <c r="D42" s="1">
        <f t="shared" ca="1" si="18"/>
        <v>44319181</v>
      </c>
      <c r="E42" s="4">
        <f t="shared" ca="1" si="19"/>
        <v>4882558.7318105996</v>
      </c>
      <c r="F42" s="41">
        <f t="shared" ca="1" si="11"/>
        <v>696.71214780402386</v>
      </c>
      <c r="G42" s="1">
        <v>0.42</v>
      </c>
      <c r="H42" s="42">
        <f>ROUND(I42*'Gas Price'!$B$4/252/'Fixed cost calculation'!$G$25,2)</f>
        <v>8367.0400000000009</v>
      </c>
      <c r="I42" s="1">
        <v>1584</v>
      </c>
      <c r="J42" s="1">
        <v>0</v>
      </c>
      <c r="K42" s="4">
        <f t="shared" ca="1" si="1"/>
        <v>9170.9988294014674</v>
      </c>
      <c r="L42" s="5">
        <v>5.00000000000001E-2</v>
      </c>
      <c r="M42" s="4">
        <f t="shared" ca="1" si="12"/>
        <v>803.95882940146555</v>
      </c>
      <c r="N42" s="4"/>
      <c r="O42" s="4">
        <f t="shared" ca="1" si="13"/>
        <v>0.8</v>
      </c>
      <c r="P42" s="1">
        <f t="shared" si="14"/>
        <v>8.3670400000000011</v>
      </c>
      <c r="Q42" s="4">
        <f t="shared" ca="1" si="15"/>
        <v>9629.5487708715409</v>
      </c>
    </row>
    <row r="43" spans="1:17" ht="18" customHeight="1">
      <c r="A43" s="5" t="s">
        <v>236</v>
      </c>
      <c r="B43" s="44">
        <v>0.15800682328512311</v>
      </c>
      <c r="C43" s="42">
        <f t="shared" si="9"/>
        <v>225.46635742740168</v>
      </c>
      <c r="D43" s="1">
        <f t="shared" ca="1" si="18"/>
        <v>41744310</v>
      </c>
      <c r="E43" s="4">
        <f t="shared" ca="1" si="19"/>
        <v>4598890.1576026091</v>
      </c>
      <c r="F43" s="41">
        <f t="shared" ca="1" si="11"/>
        <v>656.23432614192484</v>
      </c>
      <c r="G43" s="1">
        <v>0.28999999999999998</v>
      </c>
      <c r="H43" s="42">
        <f>ROUND(I43*'Gas Price'!$B$4/252/'Fixed cost calculation'!$G$25,2)</f>
        <v>7912.77</v>
      </c>
      <c r="I43" s="1">
        <v>1498</v>
      </c>
      <c r="J43" s="1">
        <v>0</v>
      </c>
      <c r="K43" s="4">
        <f t="shared" ca="1" si="1"/>
        <v>8794.4706835693269</v>
      </c>
      <c r="L43" s="5">
        <v>5.00000000000001E-2</v>
      </c>
      <c r="M43" s="4">
        <f t="shared" ca="1" si="12"/>
        <v>881.70068356932654</v>
      </c>
      <c r="N43" s="4"/>
      <c r="O43" s="4">
        <f t="shared" ca="1" si="13"/>
        <v>0.88</v>
      </c>
      <c r="P43" s="1">
        <f t="shared" si="14"/>
        <v>7.9127700000000001</v>
      </c>
      <c r="Q43" s="4">
        <f t="shared" ca="1" si="15"/>
        <v>9234.194217747794</v>
      </c>
    </row>
    <row r="44" spans="1:17" ht="18" customHeight="1">
      <c r="A44" s="1" t="s">
        <v>239</v>
      </c>
      <c r="B44" s="44">
        <v>0.13254302727759351</v>
      </c>
      <c r="C44" s="42">
        <f t="shared" si="9"/>
        <v>189.13103207419164</v>
      </c>
      <c r="D44" s="1">
        <f t="shared" ca="1" si="18"/>
        <v>41371106</v>
      </c>
      <c r="E44" s="4">
        <f t="shared" ca="1" si="19"/>
        <v>4557774.9923890047</v>
      </c>
      <c r="F44" s="41">
        <f t="shared" ca="1" si="11"/>
        <v>650.36743612856799</v>
      </c>
      <c r="G44" s="1">
        <v>0.35</v>
      </c>
      <c r="H44" s="42">
        <f>ROUND(I44*'Gas Price'!$B$4/252/'Fixed cost calculation'!$G$25,2)</f>
        <v>7511.32</v>
      </c>
      <c r="I44" s="1">
        <v>1422</v>
      </c>
      <c r="J44" s="1">
        <v>0</v>
      </c>
      <c r="K44" s="4">
        <f t="shared" ca="1" si="1"/>
        <v>8350.8184682027586</v>
      </c>
      <c r="L44" s="5">
        <v>5.00000000000001E-2</v>
      </c>
      <c r="M44" s="4">
        <f t="shared" ca="1" si="12"/>
        <v>839.49846820275957</v>
      </c>
      <c r="N44" s="4"/>
      <c r="O44" s="4">
        <f t="shared" ca="1" si="13"/>
        <v>0.84</v>
      </c>
      <c r="P44" s="1">
        <f t="shared" si="14"/>
        <v>7.5113199999999996</v>
      </c>
      <c r="Q44" s="4">
        <f t="shared" ca="1" si="15"/>
        <v>8768.3593916128975</v>
      </c>
    </row>
    <row r="45" spans="1:17" ht="18" customHeight="1">
      <c r="B45" s="44"/>
      <c r="E45" s="4"/>
      <c r="F45" s="41"/>
      <c r="G45" s="1"/>
      <c r="K45" s="4"/>
      <c r="L45" s="5"/>
      <c r="M45" s="4"/>
      <c r="N45" s="4"/>
      <c r="O45" s="4"/>
      <c r="Q45" s="4"/>
    </row>
    <row r="46" spans="1:17" ht="18" customHeight="1">
      <c r="B46" s="44"/>
      <c r="E46" s="4"/>
      <c r="F46" s="41"/>
      <c r="G46" s="1"/>
      <c r="K46" s="4"/>
      <c r="L46" s="5"/>
      <c r="M46" s="4"/>
      <c r="N46" s="4"/>
      <c r="O46" s="4"/>
      <c r="Q46" s="4"/>
    </row>
    <row r="47" spans="1:17" ht="18" customHeight="1">
      <c r="B47" s="44"/>
      <c r="E47" s="4"/>
      <c r="F47" s="41"/>
      <c r="G47" s="1"/>
      <c r="K47" s="4"/>
      <c r="L47" s="5"/>
      <c r="M47" s="4"/>
      <c r="N47" s="4"/>
      <c r="O47" s="4"/>
      <c r="Q47" s="4"/>
    </row>
    <row r="48" spans="1:17" ht="18" customHeight="1">
      <c r="B48" s="44"/>
      <c r="E48" s="4"/>
      <c r="F48" s="41"/>
      <c r="G48" s="1"/>
      <c r="I48" s="5"/>
      <c r="K48" s="4"/>
      <c r="L48" s="5"/>
      <c r="M48" s="4"/>
      <c r="N48" s="4"/>
      <c r="O48" s="4"/>
      <c r="Q48" s="4"/>
    </row>
    <row r="49" spans="1:17" ht="18" customHeight="1">
      <c r="B49" s="44"/>
      <c r="E49" s="4"/>
      <c r="F49" s="41"/>
      <c r="G49" s="1"/>
      <c r="K49" s="4"/>
      <c r="O49" s="4"/>
      <c r="Q49" s="4"/>
    </row>
    <row r="50" spans="1:17" ht="18" customHeight="1">
      <c r="A50" s="3" t="s">
        <v>84</v>
      </c>
      <c r="B50" s="44"/>
      <c r="E50" s="4"/>
      <c r="F50" s="41"/>
      <c r="G50" s="1"/>
      <c r="K50" s="4"/>
      <c r="O50" s="4"/>
      <c r="Q50" s="4"/>
    </row>
    <row r="51" spans="1:17" ht="18" customHeight="1">
      <c r="A51" s="1" t="s">
        <v>243</v>
      </c>
      <c r="B51" s="44">
        <v>0.375</v>
      </c>
      <c r="C51" s="42">
        <f t="shared" ref="C51:C64" si="20">(B51*10^7)/(8760*$B$1)</f>
        <v>535.10273972602738</v>
      </c>
      <c r="D51" s="1">
        <f>10.7*10^7</f>
        <v>107000000</v>
      </c>
      <c r="E51" s="4">
        <f t="shared" ref="E51:E64" si="21">D51*$B$4</f>
        <v>11787983.72433223</v>
      </c>
      <c r="F51" s="41">
        <f t="shared" ref="F51:F64" si="22">(E51)/(8760*$B$1)</f>
        <v>1682.075303129599</v>
      </c>
      <c r="G51" s="1">
        <v>0.37</v>
      </c>
      <c r="H51" s="42">
        <v>0</v>
      </c>
      <c r="I51" s="1">
        <v>0</v>
      </c>
      <c r="J51" s="1">
        <v>0</v>
      </c>
      <c r="K51" s="4">
        <f t="shared" si="1"/>
        <v>2217.1780428556262</v>
      </c>
      <c r="L51" s="1">
        <v>0.15</v>
      </c>
      <c r="M51" s="4">
        <f t="shared" ref="M51:M64" si="23">C51+F51</f>
        <v>2217.1780428556262</v>
      </c>
      <c r="N51" s="4"/>
      <c r="O51" s="4">
        <f t="shared" ref="O51:O64" si="24">ROUND((C51+F51)/1000,2)</f>
        <v>2.2200000000000002</v>
      </c>
      <c r="P51" s="1">
        <f t="shared" ref="P51:P64" si="25">H51/1000</f>
        <v>0</v>
      </c>
      <c r="Q51" s="4">
        <f t="shared" ref="Q51:Q64" si="26">K51+L51*K51</f>
        <v>2549.7547492839703</v>
      </c>
    </row>
    <row r="52" spans="1:17" ht="18" customHeight="1">
      <c r="A52" s="1" t="s">
        <v>246</v>
      </c>
      <c r="B52" s="44">
        <v>0.17037914899816908</v>
      </c>
      <c r="C52" s="42">
        <f t="shared" si="20"/>
        <v>243.12093178962485</v>
      </c>
      <c r="D52" s="1">
        <f t="shared" ref="D52:D64" ca="1" si="27">RANDBETWEEN(5*10^7,11*10^7)</f>
        <v>53220694</v>
      </c>
      <c r="E52" s="4">
        <f t="shared" ca="1" si="21"/>
        <v>5863221.2585950093</v>
      </c>
      <c r="F52" s="41">
        <f t="shared" ca="1" si="22"/>
        <v>836.64686909175362</v>
      </c>
      <c r="G52" s="1">
        <v>0.28000000000000003</v>
      </c>
      <c r="H52" s="42">
        <v>0</v>
      </c>
      <c r="I52" s="1">
        <v>0</v>
      </c>
      <c r="J52" s="1">
        <v>0</v>
      </c>
      <c r="K52" s="4">
        <f t="shared" ca="1" si="1"/>
        <v>1079.7678008813784</v>
      </c>
      <c r="L52" s="1">
        <v>0.19</v>
      </c>
      <c r="M52" s="4">
        <f t="shared" ca="1" si="23"/>
        <v>1079.7678008813784</v>
      </c>
      <c r="N52" s="4"/>
      <c r="O52" s="4">
        <f t="shared" ca="1" si="24"/>
        <v>1.08</v>
      </c>
      <c r="P52" s="1">
        <f t="shared" si="25"/>
        <v>0</v>
      </c>
      <c r="Q52" s="4">
        <f t="shared" ca="1" si="26"/>
        <v>1284.9236830488403</v>
      </c>
    </row>
    <row r="53" spans="1:17" ht="18" customHeight="1">
      <c r="A53" s="1" t="s">
        <v>253</v>
      </c>
      <c r="B53" s="44">
        <v>0.42324057070504983</v>
      </c>
      <c r="C53" s="42">
        <f t="shared" si="20"/>
        <v>603.9391705266122</v>
      </c>
      <c r="D53" s="1">
        <f t="shared" ca="1" si="27"/>
        <v>84670887</v>
      </c>
      <c r="E53" s="4">
        <f t="shared" ca="1" si="21"/>
        <v>9328028.3914090972</v>
      </c>
      <c r="F53" s="41">
        <f t="shared" ca="1" si="22"/>
        <v>1331.0542795960471</v>
      </c>
      <c r="G53" s="1">
        <v>0.36</v>
      </c>
      <c r="H53" s="42">
        <v>0</v>
      </c>
      <c r="I53" s="1">
        <v>0</v>
      </c>
      <c r="J53" s="1">
        <v>0</v>
      </c>
      <c r="K53" s="4">
        <f t="shared" ca="1" si="1"/>
        <v>1934.9934501226594</v>
      </c>
      <c r="L53" s="1">
        <v>0.12</v>
      </c>
      <c r="M53" s="4">
        <f t="shared" ca="1" si="23"/>
        <v>1934.9934501226594</v>
      </c>
      <c r="N53" s="4"/>
      <c r="O53" s="4">
        <f t="shared" ca="1" si="24"/>
        <v>1.93</v>
      </c>
      <c r="P53" s="1">
        <f t="shared" si="25"/>
        <v>0</v>
      </c>
      <c r="Q53" s="4">
        <f t="shared" ca="1" si="26"/>
        <v>2167.1926641373784</v>
      </c>
    </row>
    <row r="54" spans="1:17" ht="18" customHeight="1">
      <c r="A54" s="1" t="s">
        <v>265</v>
      </c>
      <c r="B54" s="44">
        <v>0.39397172624456978</v>
      </c>
      <c r="C54" s="42">
        <f t="shared" si="20"/>
        <v>562.17426690149796</v>
      </c>
      <c r="D54" s="1">
        <f t="shared" ca="1" si="27"/>
        <v>109298688</v>
      </c>
      <c r="E54" s="4">
        <f t="shared" ca="1" si="21"/>
        <v>12041225.749858564</v>
      </c>
      <c r="F54" s="41">
        <f t="shared" ca="1" si="22"/>
        <v>1718.2114369090416</v>
      </c>
      <c r="G54" s="1">
        <v>0.33</v>
      </c>
      <c r="H54" s="42">
        <v>0</v>
      </c>
      <c r="I54" s="1">
        <v>0</v>
      </c>
      <c r="J54" s="1">
        <v>0</v>
      </c>
      <c r="K54" s="4">
        <f t="shared" ca="1" si="1"/>
        <v>2280.3857038105398</v>
      </c>
      <c r="L54" s="1">
        <v>0.11</v>
      </c>
      <c r="M54" s="4">
        <f t="shared" ca="1" si="23"/>
        <v>2280.3857038105398</v>
      </c>
      <c r="N54" s="4"/>
      <c r="O54" s="4">
        <f t="shared" ca="1" si="24"/>
        <v>2.2799999999999998</v>
      </c>
      <c r="P54" s="1">
        <f t="shared" si="25"/>
        <v>0</v>
      </c>
      <c r="Q54" s="4">
        <f t="shared" ca="1" si="26"/>
        <v>2531.2281312296991</v>
      </c>
    </row>
    <row r="55" spans="1:17" ht="18" customHeight="1">
      <c r="A55" s="1" t="s">
        <v>272</v>
      </c>
      <c r="B55" s="44">
        <v>0.28080302271574364</v>
      </c>
      <c r="C55" s="42">
        <f t="shared" si="20"/>
        <v>400.68924474278487</v>
      </c>
      <c r="D55" s="1">
        <f t="shared" ca="1" si="27"/>
        <v>59220906</v>
      </c>
      <c r="E55" s="4">
        <f t="shared" ca="1" si="21"/>
        <v>6524253.0473664384</v>
      </c>
      <c r="F55" s="41">
        <f t="shared" ca="1" si="22"/>
        <v>930.97218141644385</v>
      </c>
      <c r="G55" s="1">
        <v>0.28000000000000003</v>
      </c>
      <c r="H55" s="42">
        <v>0</v>
      </c>
      <c r="I55" s="1">
        <v>0</v>
      </c>
      <c r="J55" s="1">
        <v>0</v>
      </c>
      <c r="K55" s="4">
        <f t="shared" ca="1" si="1"/>
        <v>1331.6614261592288</v>
      </c>
      <c r="L55" s="1">
        <v>0.25</v>
      </c>
      <c r="M55" s="4">
        <f t="shared" ca="1" si="23"/>
        <v>1331.6614261592288</v>
      </c>
      <c r="N55" s="4"/>
      <c r="O55" s="4">
        <f t="shared" ca="1" si="24"/>
        <v>1.33</v>
      </c>
      <c r="P55" s="1">
        <f t="shared" si="25"/>
        <v>0</v>
      </c>
      <c r="Q55" s="4">
        <f t="shared" ca="1" si="26"/>
        <v>1664.5767826990359</v>
      </c>
    </row>
    <row r="56" spans="1:17" ht="18" customHeight="1">
      <c r="A56" s="1" t="s">
        <v>277</v>
      </c>
      <c r="B56" s="44">
        <v>0.24454678934925672</v>
      </c>
      <c r="C56" s="42">
        <f t="shared" si="20"/>
        <v>348.95375192530929</v>
      </c>
      <c r="D56" s="1">
        <f t="shared" ca="1" si="27"/>
        <v>83139774</v>
      </c>
      <c r="E56" s="4">
        <f t="shared" ca="1" si="21"/>
        <v>9159348.6238940172</v>
      </c>
      <c r="F56" s="41">
        <f t="shared" ca="1" si="22"/>
        <v>1306.9846780670687</v>
      </c>
      <c r="G56" s="1">
        <v>0.28000000000000003</v>
      </c>
      <c r="H56" s="42">
        <v>0</v>
      </c>
      <c r="I56" s="1">
        <v>0</v>
      </c>
      <c r="J56" s="1">
        <v>0</v>
      </c>
      <c r="K56" s="4">
        <f t="shared" ca="1" si="1"/>
        <v>1655.9384299923779</v>
      </c>
      <c r="L56" s="1">
        <v>0.22</v>
      </c>
      <c r="M56" s="4">
        <f t="shared" ca="1" si="23"/>
        <v>1655.9384299923779</v>
      </c>
      <c r="N56" s="4"/>
      <c r="O56" s="4">
        <f t="shared" ca="1" si="24"/>
        <v>1.66</v>
      </c>
      <c r="P56" s="1">
        <f t="shared" si="25"/>
        <v>0</v>
      </c>
      <c r="Q56" s="4">
        <f t="shared" ca="1" si="26"/>
        <v>2020.2448845907011</v>
      </c>
    </row>
    <row r="57" spans="1:17" ht="18" customHeight="1">
      <c r="A57" s="1" t="s">
        <v>281</v>
      </c>
      <c r="B57" s="44">
        <v>0.32705935629752997</v>
      </c>
      <c r="C57" s="42">
        <f t="shared" si="20"/>
        <v>466.69428695423795</v>
      </c>
      <c r="D57" s="1">
        <f t="shared" ca="1" si="27"/>
        <v>83330503</v>
      </c>
      <c r="E57" s="4">
        <f t="shared" ca="1" si="21"/>
        <v>9180360.8701347485</v>
      </c>
      <c r="F57" s="41">
        <f t="shared" ca="1" si="22"/>
        <v>1309.9830008753922</v>
      </c>
      <c r="G57" s="1">
        <v>0.4</v>
      </c>
      <c r="H57" s="42">
        <v>0</v>
      </c>
      <c r="I57" s="1">
        <v>0</v>
      </c>
      <c r="J57" s="1">
        <v>0</v>
      </c>
      <c r="K57" s="4">
        <f t="shared" ca="1" si="1"/>
        <v>1776.6772878296301</v>
      </c>
      <c r="L57" s="1">
        <v>0.1</v>
      </c>
      <c r="M57" s="4">
        <f t="shared" ca="1" si="23"/>
        <v>1776.6772878296301</v>
      </c>
      <c r="N57" s="4"/>
      <c r="O57" s="4">
        <f t="shared" ca="1" si="24"/>
        <v>1.78</v>
      </c>
      <c r="P57" s="1">
        <f t="shared" si="25"/>
        <v>0</v>
      </c>
      <c r="Q57" s="4">
        <f t="shared" ca="1" si="26"/>
        <v>1954.3450166125931</v>
      </c>
    </row>
    <row r="58" spans="1:17" ht="18" customHeight="1">
      <c r="A58" s="1" t="s">
        <v>286</v>
      </c>
      <c r="B58" s="44">
        <v>0.24682894118030263</v>
      </c>
      <c r="C58" s="42">
        <f t="shared" si="20"/>
        <v>352.21024711801175</v>
      </c>
      <c r="D58" s="1">
        <f t="shared" ca="1" si="27"/>
        <v>97560457</v>
      </c>
      <c r="E58" s="4">
        <f t="shared" ca="1" si="21"/>
        <v>10748047.469667424</v>
      </c>
      <c r="F58" s="41">
        <f t="shared" ca="1" si="22"/>
        <v>1533.6825727265159</v>
      </c>
      <c r="G58" s="1">
        <v>0.31</v>
      </c>
      <c r="H58" s="42">
        <v>0</v>
      </c>
      <c r="I58" s="1">
        <v>0</v>
      </c>
      <c r="J58" s="1">
        <v>0</v>
      </c>
      <c r="K58" s="4">
        <f t="shared" ca="1" si="1"/>
        <v>1885.8928198445276</v>
      </c>
      <c r="L58" s="1">
        <v>0.12</v>
      </c>
      <c r="M58" s="4">
        <f t="shared" ca="1" si="23"/>
        <v>1885.8928198445276</v>
      </c>
      <c r="N58" s="4"/>
      <c r="O58" s="4">
        <f t="shared" ca="1" si="24"/>
        <v>1.89</v>
      </c>
      <c r="P58" s="1">
        <f t="shared" si="25"/>
        <v>0</v>
      </c>
      <c r="Q58" s="4">
        <f t="shared" ca="1" si="26"/>
        <v>2112.1999582258709</v>
      </c>
    </row>
    <row r="59" spans="1:17" ht="18" customHeight="1">
      <c r="A59" s="1" t="s">
        <v>288</v>
      </c>
      <c r="B59" s="44">
        <v>0.41489482396954491</v>
      </c>
      <c r="C59" s="42">
        <f t="shared" si="20"/>
        <v>592.03028534467023</v>
      </c>
      <c r="D59" s="1">
        <f t="shared" ca="1" si="27"/>
        <v>55424804</v>
      </c>
      <c r="E59" s="4">
        <f t="shared" ca="1" si="21"/>
        <v>6106043.8081897553</v>
      </c>
      <c r="F59" s="41">
        <f t="shared" ca="1" si="22"/>
        <v>871.29620550652896</v>
      </c>
      <c r="G59" s="1">
        <v>0.4</v>
      </c>
      <c r="H59" s="42">
        <v>0</v>
      </c>
      <c r="I59" s="1">
        <v>0</v>
      </c>
      <c r="J59" s="1">
        <v>0</v>
      </c>
      <c r="K59" s="4">
        <f t="shared" ca="1" si="1"/>
        <v>1463.3264908511992</v>
      </c>
      <c r="L59" s="1">
        <v>0.21</v>
      </c>
      <c r="M59" s="4">
        <f t="shared" ca="1" si="23"/>
        <v>1463.3264908511992</v>
      </c>
      <c r="N59" s="4"/>
      <c r="O59" s="4">
        <f t="shared" ca="1" si="24"/>
        <v>1.46</v>
      </c>
      <c r="P59" s="1">
        <f t="shared" si="25"/>
        <v>0</v>
      </c>
      <c r="Q59" s="4">
        <f t="shared" ca="1" si="26"/>
        <v>1770.625053929951</v>
      </c>
    </row>
    <row r="60" spans="1:17" ht="18" customHeight="1">
      <c r="A60" s="1" t="s">
        <v>290</v>
      </c>
      <c r="B60" s="44">
        <v>0.29237049211575938</v>
      </c>
      <c r="C60" s="42">
        <f t="shared" si="20"/>
        <v>417.19533692317265</v>
      </c>
      <c r="D60" s="1">
        <f t="shared" ca="1" si="27"/>
        <v>55735231</v>
      </c>
      <c r="E60" s="4">
        <f t="shared" ca="1" si="21"/>
        <v>6140242.9523354871</v>
      </c>
      <c r="F60" s="41">
        <f t="shared" ca="1" si="22"/>
        <v>876.17622036750674</v>
      </c>
      <c r="G60" s="1">
        <v>0.35</v>
      </c>
      <c r="H60" s="42">
        <v>0</v>
      </c>
      <c r="I60" s="1">
        <v>0</v>
      </c>
      <c r="J60" s="1">
        <v>0</v>
      </c>
      <c r="K60" s="4">
        <f t="shared" ca="1" si="1"/>
        <v>1293.3715572906794</v>
      </c>
      <c r="L60" s="1">
        <v>0.18</v>
      </c>
      <c r="M60" s="4">
        <f t="shared" ca="1" si="23"/>
        <v>1293.3715572906794</v>
      </c>
      <c r="N60" s="4"/>
      <c r="O60" s="4">
        <f t="shared" ca="1" si="24"/>
        <v>1.29</v>
      </c>
      <c r="P60" s="1">
        <f t="shared" si="25"/>
        <v>0</v>
      </c>
      <c r="Q60" s="4">
        <f t="shared" ca="1" si="26"/>
        <v>1526.1784376030018</v>
      </c>
    </row>
    <row r="61" spans="1:17" ht="18" customHeight="1">
      <c r="A61" s="1" t="s">
        <v>293</v>
      </c>
      <c r="B61" s="44">
        <v>0.14871976962220615</v>
      </c>
      <c r="C61" s="42">
        <f t="shared" si="20"/>
        <v>212.2142831367097</v>
      </c>
      <c r="D61" s="1">
        <f t="shared" ca="1" si="27"/>
        <v>93687719</v>
      </c>
      <c r="E61" s="4">
        <f t="shared" ca="1" si="21"/>
        <v>10321395.390110387</v>
      </c>
      <c r="F61" s="41">
        <f t="shared" ca="1" si="22"/>
        <v>1472.8018536116419</v>
      </c>
      <c r="G61" s="1">
        <v>0.44</v>
      </c>
      <c r="H61" s="42">
        <v>0</v>
      </c>
      <c r="I61" s="1">
        <v>0</v>
      </c>
      <c r="J61" s="1">
        <v>0</v>
      </c>
      <c r="K61" s="4">
        <f t="shared" ca="1" si="1"/>
        <v>1685.0161367483515</v>
      </c>
      <c r="L61" s="1">
        <v>0.25</v>
      </c>
      <c r="M61" s="4">
        <f t="shared" ca="1" si="23"/>
        <v>1685.0161367483515</v>
      </c>
      <c r="N61" s="4"/>
      <c r="O61" s="4">
        <f t="shared" ca="1" si="24"/>
        <v>1.69</v>
      </c>
      <c r="P61" s="1">
        <f t="shared" si="25"/>
        <v>0</v>
      </c>
      <c r="Q61" s="4">
        <f t="shared" ca="1" si="26"/>
        <v>2106.2701709354396</v>
      </c>
    </row>
    <row r="62" spans="1:17" ht="18" customHeight="1">
      <c r="A62" s="1" t="s">
        <v>297</v>
      </c>
      <c r="B62" s="44">
        <v>0.42532295499220574</v>
      </c>
      <c r="C62" s="42">
        <f t="shared" si="20"/>
        <v>606.91060929253103</v>
      </c>
      <c r="D62" s="1">
        <f t="shared" ca="1" si="27"/>
        <v>88968493</v>
      </c>
      <c r="E62" s="4">
        <f t="shared" ca="1" si="21"/>
        <v>9801487.3594613634</v>
      </c>
      <c r="F62" s="41">
        <f t="shared" ca="1" si="22"/>
        <v>1398.6140638500804</v>
      </c>
      <c r="G62" s="1">
        <v>0.31</v>
      </c>
      <c r="H62" s="42">
        <v>0</v>
      </c>
      <c r="I62" s="1">
        <v>0</v>
      </c>
      <c r="J62" s="1">
        <v>0</v>
      </c>
      <c r="K62" s="4">
        <f t="shared" ca="1" si="1"/>
        <v>2005.5246731426114</v>
      </c>
      <c r="L62" s="1">
        <v>0.11</v>
      </c>
      <c r="M62" s="4">
        <f t="shared" ca="1" si="23"/>
        <v>2005.5246731426114</v>
      </c>
      <c r="N62" s="4"/>
      <c r="O62" s="4">
        <f t="shared" ca="1" si="24"/>
        <v>2.0099999999999998</v>
      </c>
      <c r="P62" s="1">
        <f t="shared" si="25"/>
        <v>0</v>
      </c>
      <c r="Q62" s="4">
        <f t="shared" ca="1" si="26"/>
        <v>2226.1323871882987</v>
      </c>
    </row>
    <row r="63" spans="1:17" ht="18" customHeight="1">
      <c r="A63" s="1" t="s">
        <v>301</v>
      </c>
      <c r="B63" s="44">
        <v>0.12670334386416904</v>
      </c>
      <c r="C63" s="42">
        <f t="shared" si="20"/>
        <v>180.7981504911088</v>
      </c>
      <c r="D63" s="1">
        <f t="shared" ca="1" si="27"/>
        <v>62647070</v>
      </c>
      <c r="E63" s="4">
        <f t="shared" ca="1" si="21"/>
        <v>6901706.9302532887</v>
      </c>
      <c r="F63" s="41">
        <f t="shared" ca="1" si="22"/>
        <v>984.83260991057205</v>
      </c>
      <c r="G63" s="1">
        <v>0.44</v>
      </c>
      <c r="H63" s="42">
        <v>0</v>
      </c>
      <c r="I63" s="1">
        <v>0</v>
      </c>
      <c r="J63" s="1">
        <v>0</v>
      </c>
      <c r="K63" s="4">
        <f t="shared" ca="1" si="1"/>
        <v>1165.6307604016808</v>
      </c>
      <c r="L63" s="1">
        <v>0.11</v>
      </c>
      <c r="M63" s="4">
        <f t="shared" ca="1" si="23"/>
        <v>1165.6307604016808</v>
      </c>
      <c r="N63" s="4"/>
      <c r="O63" s="4">
        <f t="shared" ca="1" si="24"/>
        <v>1.17</v>
      </c>
      <c r="P63" s="1">
        <f t="shared" si="25"/>
        <v>0</v>
      </c>
      <c r="Q63" s="4">
        <f t="shared" ca="1" si="26"/>
        <v>1293.8501440458658</v>
      </c>
    </row>
    <row r="64" spans="1:17" ht="18" customHeight="1">
      <c r="A64" s="1" t="s">
        <v>303</v>
      </c>
      <c r="B64" s="44">
        <v>0.18245980826419864</v>
      </c>
      <c r="C64" s="42">
        <f t="shared" si="20"/>
        <v>260.3593154454889</v>
      </c>
      <c r="D64" s="1">
        <f t="shared" ca="1" si="27"/>
        <v>74866321</v>
      </c>
      <c r="E64" s="4">
        <f t="shared" ca="1" si="21"/>
        <v>8247878.2565292735</v>
      </c>
      <c r="F64" s="41">
        <f t="shared" ca="1" si="22"/>
        <v>1176.9232671988118</v>
      </c>
      <c r="G64" s="1">
        <v>0.44</v>
      </c>
      <c r="H64" s="42">
        <v>0</v>
      </c>
      <c r="I64" s="1">
        <v>0</v>
      </c>
      <c r="J64" s="1">
        <v>0</v>
      </c>
      <c r="K64" s="4">
        <f t="shared" ca="1" si="1"/>
        <v>1437.2825826443006</v>
      </c>
      <c r="L64" s="1">
        <v>0.12</v>
      </c>
      <c r="M64" s="4">
        <f t="shared" ca="1" si="23"/>
        <v>1437.2825826443006</v>
      </c>
      <c r="N64" s="4"/>
      <c r="O64" s="4">
        <f t="shared" ca="1" si="24"/>
        <v>1.44</v>
      </c>
      <c r="P64" s="1">
        <f t="shared" si="25"/>
        <v>0</v>
      </c>
      <c r="Q64" s="4">
        <f t="shared" ca="1" si="26"/>
        <v>1609.7564925616166</v>
      </c>
    </row>
    <row r="65" spans="1:17" ht="18" customHeight="1">
      <c r="B65" s="44"/>
      <c r="E65" s="4"/>
      <c r="F65" s="41"/>
      <c r="G65" s="1"/>
      <c r="K65" s="4"/>
      <c r="L65" s="1"/>
      <c r="O65" s="4"/>
      <c r="Q65" s="4"/>
    </row>
    <row r="66" spans="1:17" ht="18" customHeight="1">
      <c r="A66" s="3" t="s">
        <v>73</v>
      </c>
      <c r="B66" s="44"/>
      <c r="E66" s="4"/>
      <c r="F66" s="41"/>
      <c r="G66" s="1"/>
      <c r="K66" s="4"/>
      <c r="L66" s="1"/>
      <c r="O66" s="4"/>
      <c r="Q66" s="4"/>
    </row>
    <row r="67" spans="1:17" ht="18" customHeight="1">
      <c r="A67" s="1" t="s">
        <v>311</v>
      </c>
      <c r="B67" s="44">
        <v>3.5000000000000003E-2</v>
      </c>
      <c r="C67" s="42">
        <f t="shared" ref="C67:C95" si="28">(B67*10^7)/(8760*$B$1)</f>
        <v>49.94292237442923</v>
      </c>
      <c r="D67" s="1">
        <f>5.4*10^7</f>
        <v>54000000</v>
      </c>
      <c r="E67" s="4">
        <f t="shared" ref="E67:E95" si="29">D67*$B$4</f>
        <v>5949075.8982611252</v>
      </c>
      <c r="F67" s="41">
        <f t="shared" ref="F67:F95" si="30">(E67)/(8760*$B$1)</f>
        <v>848.89781653269483</v>
      </c>
      <c r="G67" s="1">
        <v>0.42</v>
      </c>
      <c r="H67" s="42">
        <v>0</v>
      </c>
      <c r="I67" s="1">
        <v>0</v>
      </c>
      <c r="J67" s="1">
        <v>0</v>
      </c>
      <c r="K67" s="4">
        <f t="shared" si="1"/>
        <v>898.84073890712409</v>
      </c>
      <c r="L67" s="1">
        <v>0.12</v>
      </c>
      <c r="M67" s="4">
        <f t="shared" ref="M67:M95" si="31">C67+F67</f>
        <v>898.84073890712409</v>
      </c>
      <c r="N67" s="4"/>
      <c r="O67" s="4">
        <f t="shared" ref="O67:O95" si="32">ROUND((C67+F67)/1000,2)</f>
        <v>0.9</v>
      </c>
      <c r="P67" s="1">
        <f t="shared" ref="P67:P95" si="33">H67/1000</f>
        <v>0</v>
      </c>
      <c r="Q67" s="4">
        <f t="shared" ref="Q67:Q95" si="34">K67+L67*K67</f>
        <v>1006.7016275759789</v>
      </c>
    </row>
    <row r="68" spans="1:17" ht="18" customHeight="1">
      <c r="A68" s="1" t="s">
        <v>344</v>
      </c>
      <c r="B68" s="44">
        <v>0.21010742905663726</v>
      </c>
      <c r="C68" s="42">
        <f t="shared" si="28"/>
        <v>299.81082913332943</v>
      </c>
      <c r="D68" s="1">
        <f t="shared" ref="D68:D95" ca="1" si="35">RANDBETWEEN(5*10^7,6*10^7)</f>
        <v>57409553</v>
      </c>
      <c r="E68" s="4">
        <f t="shared" ca="1" si="29"/>
        <v>6324699.7793008275</v>
      </c>
      <c r="F68" s="41">
        <f t="shared" ca="1" si="30"/>
        <v>902.49711462625964</v>
      </c>
      <c r="G68" s="1">
        <v>0.3</v>
      </c>
      <c r="H68" s="42">
        <v>0</v>
      </c>
      <c r="I68" s="1">
        <v>0</v>
      </c>
      <c r="J68" s="1">
        <v>0</v>
      </c>
      <c r="K68" s="4">
        <f t="shared" ca="1" si="1"/>
        <v>1202.3079437595891</v>
      </c>
      <c r="L68" s="1">
        <v>0.18</v>
      </c>
      <c r="M68" s="4">
        <f t="shared" ca="1" si="31"/>
        <v>1202.3079437595891</v>
      </c>
      <c r="N68" s="4"/>
      <c r="O68" s="4">
        <f t="shared" ca="1" si="32"/>
        <v>1.2</v>
      </c>
      <c r="P68" s="1">
        <f t="shared" si="33"/>
        <v>0</v>
      </c>
      <c r="Q68" s="4">
        <f t="shared" ca="1" si="34"/>
        <v>1418.723373636315</v>
      </c>
    </row>
    <row r="69" spans="1:17" ht="18" customHeight="1">
      <c r="A69" s="1" t="s">
        <v>345</v>
      </c>
      <c r="B69" s="44">
        <v>3.823020196282427E-2</v>
      </c>
      <c r="C69" s="42">
        <f t="shared" si="28"/>
        <v>54.55222882823098</v>
      </c>
      <c r="D69" s="1">
        <f t="shared" ca="1" si="35"/>
        <v>56235702</v>
      </c>
      <c r="E69" s="4">
        <f t="shared" ca="1" si="29"/>
        <v>6195378.8775924994</v>
      </c>
      <c r="F69" s="41">
        <f t="shared" ca="1" si="30"/>
        <v>884.04378961080181</v>
      </c>
      <c r="G69" s="1">
        <v>0.34</v>
      </c>
      <c r="H69" s="42">
        <v>0</v>
      </c>
      <c r="I69" s="1">
        <v>0</v>
      </c>
      <c r="J69" s="1">
        <v>0</v>
      </c>
      <c r="K69" s="4">
        <f t="shared" ca="1" si="1"/>
        <v>938.59601843903283</v>
      </c>
      <c r="L69" s="1">
        <v>0.15</v>
      </c>
      <c r="M69" s="4">
        <f t="shared" ca="1" si="31"/>
        <v>938.59601843903283</v>
      </c>
      <c r="N69" s="4"/>
      <c r="O69" s="4">
        <f t="shared" ca="1" si="32"/>
        <v>0.94</v>
      </c>
      <c r="P69" s="1">
        <f t="shared" si="33"/>
        <v>0</v>
      </c>
      <c r="Q69" s="4">
        <f t="shared" ca="1" si="34"/>
        <v>1079.3854212048877</v>
      </c>
    </row>
    <row r="70" spans="1:17" ht="18" customHeight="1">
      <c r="A70" s="1" t="s">
        <v>346</v>
      </c>
      <c r="B70" s="44">
        <v>3.7948648596346085E-2</v>
      </c>
      <c r="C70" s="42">
        <f t="shared" si="28"/>
        <v>54.150468887480145</v>
      </c>
      <c r="D70" s="1">
        <f t="shared" ca="1" si="35"/>
        <v>58921626</v>
      </c>
      <c r="E70" s="4">
        <f t="shared" ca="1" si="29"/>
        <v>6491281.9467214085</v>
      </c>
      <c r="F70" s="41">
        <f t="shared" ca="1" si="30"/>
        <v>926.26740107326032</v>
      </c>
      <c r="G70" s="1">
        <v>0.42</v>
      </c>
      <c r="H70" s="42">
        <v>0</v>
      </c>
      <c r="I70" s="1">
        <v>0</v>
      </c>
      <c r="J70" s="1">
        <v>0</v>
      </c>
      <c r="K70" s="4">
        <f t="shared" ca="1" si="1"/>
        <v>980.41786996074052</v>
      </c>
      <c r="L70" s="1">
        <v>0.13</v>
      </c>
      <c r="M70" s="4">
        <f t="shared" ca="1" si="31"/>
        <v>980.41786996074052</v>
      </c>
      <c r="N70" s="4"/>
      <c r="O70" s="4">
        <f t="shared" ca="1" si="32"/>
        <v>0.98</v>
      </c>
      <c r="P70" s="1">
        <f t="shared" si="33"/>
        <v>0</v>
      </c>
      <c r="Q70" s="4">
        <f t="shared" ca="1" si="34"/>
        <v>1107.8721930556367</v>
      </c>
    </row>
    <row r="71" spans="1:17" ht="18" customHeight="1">
      <c r="A71" s="1" t="s">
        <v>347</v>
      </c>
      <c r="B71" s="44">
        <v>3.1543167814623033E-2</v>
      </c>
      <c r="C71" s="42">
        <f t="shared" si="28"/>
        <v>45.010228045980355</v>
      </c>
      <c r="D71" s="1">
        <f t="shared" ca="1" si="35"/>
        <v>57419936</v>
      </c>
      <c r="E71" s="4">
        <f t="shared" ca="1" si="29"/>
        <v>6325843.6543943761</v>
      </c>
      <c r="F71" s="41">
        <f t="shared" ca="1" si="30"/>
        <v>902.66033881198291</v>
      </c>
      <c r="G71" s="1">
        <v>0.32</v>
      </c>
      <c r="H71" s="42">
        <v>0</v>
      </c>
      <c r="I71" s="1">
        <v>0</v>
      </c>
      <c r="J71" s="1">
        <v>0</v>
      </c>
      <c r="K71" s="4">
        <f t="shared" ca="1" si="1"/>
        <v>947.67056685796331</v>
      </c>
      <c r="L71" s="1">
        <v>0.12</v>
      </c>
      <c r="M71" s="4">
        <f t="shared" ca="1" si="31"/>
        <v>947.67056685796331</v>
      </c>
      <c r="N71" s="4"/>
      <c r="O71" s="4">
        <f t="shared" ca="1" si="32"/>
        <v>0.95</v>
      </c>
      <c r="P71" s="1">
        <f t="shared" si="33"/>
        <v>0</v>
      </c>
      <c r="Q71" s="4">
        <f t="shared" ca="1" si="34"/>
        <v>1061.3910348809188</v>
      </c>
    </row>
    <row r="72" spans="1:17" ht="18" customHeight="1">
      <c r="A72" s="1" t="s">
        <v>349</v>
      </c>
      <c r="B72" s="44">
        <v>3.1607897800337903E-2</v>
      </c>
      <c r="C72" s="42">
        <f t="shared" si="28"/>
        <v>45.102593893176227</v>
      </c>
      <c r="D72" s="1">
        <f t="shared" ca="1" si="35"/>
        <v>57587927</v>
      </c>
      <c r="E72" s="4">
        <f t="shared" ca="1" si="29"/>
        <v>6344350.8990096506</v>
      </c>
      <c r="F72" s="41">
        <f t="shared" ca="1" si="30"/>
        <v>905.30121275822637</v>
      </c>
      <c r="G72" s="1">
        <v>0.41</v>
      </c>
      <c r="H72" s="42">
        <v>0</v>
      </c>
      <c r="I72" s="1">
        <v>0</v>
      </c>
      <c r="J72" s="1">
        <v>0</v>
      </c>
      <c r="K72" s="4">
        <f t="shared" ca="1" si="1"/>
        <v>950.40380665140265</v>
      </c>
      <c r="L72" s="1">
        <v>0.23</v>
      </c>
      <c r="M72" s="4">
        <f t="shared" ca="1" si="31"/>
        <v>950.40380665140265</v>
      </c>
      <c r="N72" s="4"/>
      <c r="O72" s="4">
        <f t="shared" ca="1" si="32"/>
        <v>0.95</v>
      </c>
      <c r="P72" s="1">
        <f t="shared" si="33"/>
        <v>0</v>
      </c>
      <c r="Q72" s="4">
        <f t="shared" ca="1" si="34"/>
        <v>1168.9966821812252</v>
      </c>
    </row>
    <row r="73" spans="1:17" ht="18" customHeight="1">
      <c r="A73" s="1" t="s">
        <v>350</v>
      </c>
      <c r="B73" s="44">
        <v>3.0124270655291871E-2</v>
      </c>
      <c r="C73" s="42">
        <f t="shared" si="28"/>
        <v>42.9855460263868</v>
      </c>
      <c r="D73" s="1">
        <f t="shared" ca="1" si="35"/>
        <v>57504813</v>
      </c>
      <c r="E73" s="4">
        <f t="shared" ca="1" si="29"/>
        <v>6335194.3898576489</v>
      </c>
      <c r="F73" s="41">
        <f t="shared" ca="1" si="30"/>
        <v>903.99463325594309</v>
      </c>
      <c r="G73" s="1">
        <v>0.41</v>
      </c>
      <c r="H73" s="42">
        <v>0</v>
      </c>
      <c r="I73" s="1">
        <v>0</v>
      </c>
      <c r="J73" s="1">
        <v>0</v>
      </c>
      <c r="K73" s="4">
        <f t="shared" ca="1" si="1"/>
        <v>946.98017928232991</v>
      </c>
      <c r="L73" s="1">
        <v>0.19</v>
      </c>
      <c r="M73" s="4">
        <f t="shared" ca="1" si="31"/>
        <v>946.98017928232991</v>
      </c>
      <c r="N73" s="4"/>
      <c r="O73" s="4">
        <f t="shared" ca="1" si="32"/>
        <v>0.95</v>
      </c>
      <c r="P73" s="1">
        <f t="shared" si="33"/>
        <v>0</v>
      </c>
      <c r="Q73" s="4">
        <f t="shared" ca="1" si="34"/>
        <v>1126.9064133459726</v>
      </c>
    </row>
    <row r="74" spans="1:17" ht="18" customHeight="1">
      <c r="A74" s="1" t="s">
        <v>351</v>
      </c>
      <c r="B74" s="44">
        <v>3.5647621494314226E-2</v>
      </c>
      <c r="C74" s="42">
        <f t="shared" si="28"/>
        <v>50.867039803530574</v>
      </c>
      <c r="D74" s="1">
        <f t="shared" ca="1" si="35"/>
        <v>51390691</v>
      </c>
      <c r="E74" s="4">
        <f t="shared" ca="1" si="29"/>
        <v>5661613.3559830543</v>
      </c>
      <c r="F74" s="41">
        <f t="shared" ca="1" si="30"/>
        <v>807.87861814826692</v>
      </c>
      <c r="G74" s="1">
        <v>0.38</v>
      </c>
      <c r="H74" s="42">
        <v>0</v>
      </c>
      <c r="I74" s="1">
        <v>0</v>
      </c>
      <c r="J74" s="1">
        <v>0</v>
      </c>
      <c r="K74" s="4">
        <f t="shared" ca="1" si="1"/>
        <v>858.74565795179751</v>
      </c>
      <c r="L74" s="1">
        <v>0.12</v>
      </c>
      <c r="M74" s="4">
        <f t="shared" ca="1" si="31"/>
        <v>858.74565795179751</v>
      </c>
      <c r="N74" s="4"/>
      <c r="O74" s="4">
        <f t="shared" ca="1" si="32"/>
        <v>0.86</v>
      </c>
      <c r="P74" s="1">
        <f t="shared" si="33"/>
        <v>0</v>
      </c>
      <c r="Q74" s="4">
        <f t="shared" ca="1" si="34"/>
        <v>961.79513690601323</v>
      </c>
    </row>
    <row r="75" spans="1:17" ht="18" customHeight="1">
      <c r="A75" s="1" t="s">
        <v>352</v>
      </c>
      <c r="B75" s="44">
        <v>3.1388387005812528E-2</v>
      </c>
      <c r="C75" s="42">
        <f t="shared" si="28"/>
        <v>44.789365019709656</v>
      </c>
      <c r="D75" s="1">
        <f t="shared" ca="1" si="35"/>
        <v>58525518</v>
      </c>
      <c r="E75" s="4">
        <f t="shared" ca="1" si="29"/>
        <v>6447643.4919823641</v>
      </c>
      <c r="F75" s="41">
        <f t="shared" ca="1" si="30"/>
        <v>920.04045262305419</v>
      </c>
      <c r="G75" s="1">
        <v>0.36</v>
      </c>
      <c r="H75" s="42">
        <v>0</v>
      </c>
      <c r="I75" s="1">
        <v>0</v>
      </c>
      <c r="J75" s="1">
        <v>0</v>
      </c>
      <c r="K75" s="4">
        <f t="shared" ca="1" si="1"/>
        <v>964.82981764276383</v>
      </c>
      <c r="L75" s="1">
        <v>0.23</v>
      </c>
      <c r="M75" s="4">
        <f t="shared" ca="1" si="31"/>
        <v>964.82981764276383</v>
      </c>
      <c r="N75" s="4"/>
      <c r="O75" s="4">
        <f t="shared" ca="1" si="32"/>
        <v>0.96</v>
      </c>
      <c r="P75" s="1">
        <f t="shared" si="33"/>
        <v>0</v>
      </c>
      <c r="Q75" s="4">
        <f t="shared" ca="1" si="34"/>
        <v>1186.7406757005995</v>
      </c>
    </row>
    <row r="76" spans="1:17" ht="18" customHeight="1">
      <c r="A76" s="1" t="s">
        <v>353</v>
      </c>
      <c r="B76" s="44">
        <v>3.4479436578912344E-2</v>
      </c>
      <c r="C76" s="42">
        <f t="shared" si="28"/>
        <v>49.200109273562141</v>
      </c>
      <c r="D76" s="1">
        <f t="shared" ca="1" si="35"/>
        <v>50314803</v>
      </c>
      <c r="E76" s="4">
        <f t="shared" ca="1" si="29"/>
        <v>5543084.8491306771</v>
      </c>
      <c r="F76" s="41">
        <f t="shared" ca="1" si="30"/>
        <v>790.96530381430898</v>
      </c>
      <c r="G76" s="1">
        <v>0.34</v>
      </c>
      <c r="H76" s="42">
        <v>0</v>
      </c>
      <c r="I76" s="1">
        <v>0</v>
      </c>
      <c r="J76" s="1">
        <v>0</v>
      </c>
      <c r="K76" s="4">
        <f t="shared" ca="1" si="1"/>
        <v>840.16541308787112</v>
      </c>
      <c r="L76" s="1">
        <v>0.21</v>
      </c>
      <c r="M76" s="4">
        <f t="shared" ca="1" si="31"/>
        <v>840.16541308787112</v>
      </c>
      <c r="N76" s="4"/>
      <c r="O76" s="4">
        <f t="shared" ca="1" si="32"/>
        <v>0.84</v>
      </c>
      <c r="P76" s="1">
        <f t="shared" si="33"/>
        <v>0</v>
      </c>
      <c r="Q76" s="4">
        <f t="shared" ca="1" si="34"/>
        <v>1016.600149836324</v>
      </c>
    </row>
    <row r="77" spans="1:17" ht="18" customHeight="1">
      <c r="A77" s="1" t="s">
        <v>354</v>
      </c>
      <c r="B77" s="44">
        <v>3.9758887778969687E-2</v>
      </c>
      <c r="C77" s="42">
        <f t="shared" si="28"/>
        <v>56.733572743963592</v>
      </c>
      <c r="D77" s="1">
        <f t="shared" ca="1" si="35"/>
        <v>58441389</v>
      </c>
      <c r="E77" s="4">
        <f t="shared" ca="1" si="29"/>
        <v>6438375.1622370901</v>
      </c>
      <c r="F77" s="41">
        <f t="shared" ca="1" si="30"/>
        <v>918.71791698588618</v>
      </c>
      <c r="G77" s="1">
        <v>0.33</v>
      </c>
      <c r="H77" s="42">
        <v>0</v>
      </c>
      <c r="I77" s="1">
        <v>0</v>
      </c>
      <c r="J77" s="1">
        <v>0</v>
      </c>
      <c r="K77" s="4">
        <f t="shared" ca="1" si="1"/>
        <v>975.45148972984975</v>
      </c>
      <c r="L77" s="1">
        <v>0.15</v>
      </c>
      <c r="M77" s="4">
        <f t="shared" ca="1" si="31"/>
        <v>975.45148972984975</v>
      </c>
      <c r="N77" s="4"/>
      <c r="O77" s="4">
        <f t="shared" ca="1" si="32"/>
        <v>0.98</v>
      </c>
      <c r="P77" s="1">
        <f t="shared" si="33"/>
        <v>0</v>
      </c>
      <c r="Q77" s="4">
        <f t="shared" ca="1" si="34"/>
        <v>1121.7692131893273</v>
      </c>
    </row>
    <row r="78" spans="1:17" ht="18" customHeight="1">
      <c r="A78" s="1" t="s">
        <v>355</v>
      </c>
      <c r="B78" s="44">
        <v>3.9342226583963386E-2</v>
      </c>
      <c r="C78" s="42">
        <f t="shared" si="28"/>
        <v>56.139021952002551</v>
      </c>
      <c r="D78" s="1">
        <f t="shared" ca="1" si="35"/>
        <v>52535092</v>
      </c>
      <c r="E78" s="4">
        <f t="shared" ca="1" si="29"/>
        <v>5787689.8079653867</v>
      </c>
      <c r="F78" s="41">
        <f t="shared" ca="1" si="30"/>
        <v>825.86897944711563</v>
      </c>
      <c r="G78" s="1">
        <v>0.4</v>
      </c>
      <c r="H78" s="42">
        <v>0</v>
      </c>
      <c r="I78" s="1">
        <v>0</v>
      </c>
      <c r="J78" s="1">
        <v>0</v>
      </c>
      <c r="K78" s="4">
        <f t="shared" ca="1" si="1"/>
        <v>882.00800139911814</v>
      </c>
      <c r="L78" s="1">
        <v>0.17</v>
      </c>
      <c r="M78" s="4">
        <f t="shared" ca="1" si="31"/>
        <v>882.00800139911814</v>
      </c>
      <c r="N78" s="4"/>
      <c r="O78" s="4">
        <f t="shared" ca="1" si="32"/>
        <v>0.88</v>
      </c>
      <c r="P78" s="1">
        <f t="shared" si="33"/>
        <v>0</v>
      </c>
      <c r="Q78" s="4">
        <f t="shared" ca="1" si="34"/>
        <v>1031.9493616369682</v>
      </c>
    </row>
    <row r="79" spans="1:17" ht="18" customHeight="1">
      <c r="A79" s="1" t="s">
        <v>356</v>
      </c>
      <c r="B79" s="44">
        <v>3.0964487244193872E-2</v>
      </c>
      <c r="C79" s="42">
        <f t="shared" si="28"/>
        <v>44.184485222879388</v>
      </c>
      <c r="D79" s="1">
        <f t="shared" ca="1" si="35"/>
        <v>56032076</v>
      </c>
      <c r="E79" s="4">
        <f t="shared" ca="1" si="29"/>
        <v>6172945.7937247343</v>
      </c>
      <c r="F79" s="41">
        <f t="shared" ca="1" si="30"/>
        <v>880.84272170729662</v>
      </c>
      <c r="G79" s="1">
        <v>0.44</v>
      </c>
      <c r="H79" s="42">
        <v>0</v>
      </c>
      <c r="I79" s="1">
        <v>0</v>
      </c>
      <c r="J79" s="1">
        <v>0</v>
      </c>
      <c r="K79" s="4">
        <f t="shared" ca="1" si="1"/>
        <v>925.02720693017602</v>
      </c>
      <c r="L79" s="1">
        <v>0.2</v>
      </c>
      <c r="M79" s="4">
        <f t="shared" ca="1" si="31"/>
        <v>925.02720693017602</v>
      </c>
      <c r="N79" s="4"/>
      <c r="O79" s="4">
        <f t="shared" ca="1" si="32"/>
        <v>0.93</v>
      </c>
      <c r="P79" s="1">
        <f t="shared" si="33"/>
        <v>0</v>
      </c>
      <c r="Q79" s="4">
        <f t="shared" ca="1" si="34"/>
        <v>1110.0326483162112</v>
      </c>
    </row>
    <row r="80" spans="1:17" ht="18" customHeight="1">
      <c r="A80" s="1" t="s">
        <v>357</v>
      </c>
      <c r="B80" s="44">
        <v>3.4225886182805441E-2</v>
      </c>
      <c r="C80" s="42">
        <f t="shared" si="28"/>
        <v>48.83830790925434</v>
      </c>
      <c r="D80" s="1">
        <f t="shared" ca="1" si="35"/>
        <v>52817480</v>
      </c>
      <c r="E80" s="4">
        <f t="shared" ca="1" si="29"/>
        <v>5818799.9495349815</v>
      </c>
      <c r="F80" s="41">
        <f t="shared" ca="1" si="30"/>
        <v>830.30821197702357</v>
      </c>
      <c r="G80" s="1">
        <v>0.34</v>
      </c>
      <c r="H80" s="42">
        <v>0</v>
      </c>
      <c r="I80" s="1">
        <v>0</v>
      </c>
      <c r="J80" s="1">
        <v>0</v>
      </c>
      <c r="K80" s="4">
        <f t="shared" ca="1" si="1"/>
        <v>879.14651988627793</v>
      </c>
      <c r="L80" s="1">
        <v>0.12</v>
      </c>
      <c r="M80" s="4">
        <f t="shared" ca="1" si="31"/>
        <v>879.14651988627793</v>
      </c>
      <c r="N80" s="4"/>
      <c r="O80" s="4">
        <f t="shared" ca="1" si="32"/>
        <v>0.88</v>
      </c>
      <c r="P80" s="1">
        <f t="shared" si="33"/>
        <v>0</v>
      </c>
      <c r="Q80" s="4">
        <f t="shared" ca="1" si="34"/>
        <v>984.64410227263124</v>
      </c>
    </row>
    <row r="81" spans="1:17" ht="18" customHeight="1">
      <c r="A81" s="1" t="s">
        <v>358</v>
      </c>
      <c r="B81" s="44">
        <v>3.5360473582646004E-2</v>
      </c>
      <c r="C81" s="42">
        <f t="shared" si="28"/>
        <v>50.457296778889848</v>
      </c>
      <c r="D81" s="1">
        <f t="shared" ca="1" si="35"/>
        <v>53166510</v>
      </c>
      <c r="E81" s="4">
        <f t="shared" ca="1" si="29"/>
        <v>5857251.9117714651</v>
      </c>
      <c r="F81" s="41">
        <f t="shared" ca="1" si="30"/>
        <v>835.79507873451269</v>
      </c>
      <c r="G81" s="1">
        <v>0.31</v>
      </c>
      <c r="H81" s="42">
        <v>0</v>
      </c>
      <c r="I81" s="1">
        <v>0</v>
      </c>
      <c r="J81" s="1">
        <v>0</v>
      </c>
      <c r="K81" s="4">
        <f t="shared" ca="1" si="1"/>
        <v>886.25237551340251</v>
      </c>
      <c r="L81" s="1">
        <v>0.22</v>
      </c>
      <c r="M81" s="4">
        <f t="shared" ca="1" si="31"/>
        <v>886.25237551340251</v>
      </c>
      <c r="N81" s="4"/>
      <c r="O81" s="4">
        <f t="shared" ca="1" si="32"/>
        <v>0.89</v>
      </c>
      <c r="P81" s="1">
        <f t="shared" si="33"/>
        <v>0</v>
      </c>
      <c r="Q81" s="4">
        <f t="shared" ca="1" si="34"/>
        <v>1081.2278981263512</v>
      </c>
    </row>
    <row r="82" spans="1:17" ht="18" customHeight="1">
      <c r="A82" s="1" t="s">
        <v>359</v>
      </c>
      <c r="B82" s="44">
        <v>3.396479165223628E-2</v>
      </c>
      <c r="C82" s="42">
        <f t="shared" si="28"/>
        <v>48.465741512894233</v>
      </c>
      <c r="D82" s="1">
        <f t="shared" ca="1" si="35"/>
        <v>59049878</v>
      </c>
      <c r="E82" s="4">
        <f t="shared" ca="1" si="29"/>
        <v>6505411.2223159233</v>
      </c>
      <c r="F82" s="41">
        <f t="shared" ca="1" si="30"/>
        <v>928.28356482818538</v>
      </c>
      <c r="G82" s="1">
        <v>0.33</v>
      </c>
      <c r="H82" s="42">
        <v>0</v>
      </c>
      <c r="I82" s="1">
        <v>0</v>
      </c>
      <c r="J82" s="1">
        <v>0</v>
      </c>
      <c r="K82" s="4">
        <f t="shared" ca="1" si="1"/>
        <v>976.74930634107966</v>
      </c>
      <c r="L82" s="1">
        <v>0.19</v>
      </c>
      <c r="M82" s="4">
        <f t="shared" ca="1" si="31"/>
        <v>976.74930634107966</v>
      </c>
      <c r="N82" s="4"/>
      <c r="O82" s="4">
        <f t="shared" ca="1" si="32"/>
        <v>0.98</v>
      </c>
      <c r="P82" s="1">
        <f t="shared" si="33"/>
        <v>0</v>
      </c>
      <c r="Q82" s="4">
        <f t="shared" ca="1" si="34"/>
        <v>1162.3316745458849</v>
      </c>
    </row>
    <row r="83" spans="1:17" ht="18" customHeight="1">
      <c r="A83" s="1" t="s">
        <v>360</v>
      </c>
      <c r="B83" s="44">
        <v>3.3258935980750068E-2</v>
      </c>
      <c r="C83" s="42">
        <f t="shared" si="28"/>
        <v>47.45852736979176</v>
      </c>
      <c r="D83" s="1">
        <f t="shared" ca="1" si="35"/>
        <v>51206283</v>
      </c>
      <c r="E83" s="4">
        <f t="shared" ca="1" si="29"/>
        <v>5641297.4821266364</v>
      </c>
      <c r="F83" s="41">
        <f t="shared" ca="1" si="30"/>
        <v>804.97966354546747</v>
      </c>
      <c r="G83" s="1">
        <v>0.36</v>
      </c>
      <c r="H83" s="42">
        <v>0</v>
      </c>
      <c r="I83" s="1">
        <v>0</v>
      </c>
      <c r="J83" s="1">
        <v>0</v>
      </c>
      <c r="K83" s="4">
        <f t="shared" ca="1" si="1"/>
        <v>852.43819091525927</v>
      </c>
      <c r="L83" s="1">
        <v>0.15</v>
      </c>
      <c r="M83" s="4">
        <f t="shared" ca="1" si="31"/>
        <v>852.43819091525927</v>
      </c>
      <c r="N83" s="4"/>
      <c r="O83" s="4">
        <f t="shared" ca="1" si="32"/>
        <v>0.85</v>
      </c>
      <c r="P83" s="1">
        <f t="shared" si="33"/>
        <v>0</v>
      </c>
      <c r="Q83" s="4">
        <f t="shared" ca="1" si="34"/>
        <v>980.30391955254811</v>
      </c>
    </row>
    <row r="84" spans="1:17" ht="18" customHeight="1">
      <c r="A84" s="1" t="s">
        <v>361</v>
      </c>
      <c r="B84" s="44">
        <v>3.349194669156004E-2</v>
      </c>
      <c r="C84" s="42">
        <f t="shared" si="28"/>
        <v>47.791019822431565</v>
      </c>
      <c r="D84" s="1">
        <f t="shared" ca="1" si="35"/>
        <v>52215901</v>
      </c>
      <c r="E84" s="4">
        <f t="shared" ca="1" si="29"/>
        <v>5752525.1508349814</v>
      </c>
      <c r="F84" s="41">
        <f t="shared" ca="1" si="30"/>
        <v>820.85119161458067</v>
      </c>
      <c r="G84" s="1">
        <v>0.3</v>
      </c>
      <c r="H84" s="42">
        <v>0</v>
      </c>
      <c r="I84" s="1">
        <v>0</v>
      </c>
      <c r="J84" s="1">
        <v>0</v>
      </c>
      <c r="K84" s="4">
        <f t="shared" ca="1" si="1"/>
        <v>868.64221143701229</v>
      </c>
      <c r="L84" s="1">
        <v>0.2</v>
      </c>
      <c r="M84" s="4">
        <f t="shared" ca="1" si="31"/>
        <v>868.64221143701229</v>
      </c>
      <c r="N84" s="4"/>
      <c r="O84" s="4">
        <f t="shared" ca="1" si="32"/>
        <v>0.87</v>
      </c>
      <c r="P84" s="1">
        <f t="shared" si="33"/>
        <v>0</v>
      </c>
      <c r="Q84" s="4">
        <f t="shared" ca="1" si="34"/>
        <v>1042.3706537244148</v>
      </c>
    </row>
    <row r="85" spans="1:17" ht="18" customHeight="1">
      <c r="A85" s="1" t="s">
        <v>362</v>
      </c>
      <c r="B85" s="44">
        <v>3.814494164036001E-2</v>
      </c>
      <c r="C85" s="42">
        <f t="shared" si="28"/>
        <v>54.430567409189507</v>
      </c>
      <c r="D85" s="1">
        <f t="shared" ca="1" si="35"/>
        <v>58804940</v>
      </c>
      <c r="E85" s="4">
        <f t="shared" ca="1" si="29"/>
        <v>6478426.8750498444</v>
      </c>
      <c r="F85" s="41">
        <f t="shared" ca="1" si="30"/>
        <v>924.43305865437276</v>
      </c>
      <c r="G85" s="1">
        <v>0.33</v>
      </c>
      <c r="H85" s="42">
        <v>0</v>
      </c>
      <c r="I85" s="1">
        <v>0</v>
      </c>
      <c r="J85" s="1">
        <v>0</v>
      </c>
      <c r="K85" s="4">
        <f t="shared" ca="1" si="1"/>
        <v>978.86362606356226</v>
      </c>
      <c r="L85" s="1">
        <v>0.22</v>
      </c>
      <c r="M85" s="4">
        <f t="shared" ca="1" si="31"/>
        <v>978.86362606356226</v>
      </c>
      <c r="N85" s="4"/>
      <c r="O85" s="4">
        <f t="shared" ca="1" si="32"/>
        <v>0.98</v>
      </c>
      <c r="P85" s="1">
        <f t="shared" si="33"/>
        <v>0</v>
      </c>
      <c r="Q85" s="4">
        <f t="shared" ca="1" si="34"/>
        <v>1194.213623797546</v>
      </c>
    </row>
    <row r="86" spans="1:17" ht="18" customHeight="1">
      <c r="A86" s="1" t="s">
        <v>363</v>
      </c>
      <c r="B86" s="44">
        <v>3.5335152140095603E-2</v>
      </c>
      <c r="C86" s="42">
        <f t="shared" si="28"/>
        <v>50.421164583469753</v>
      </c>
      <c r="D86" s="1">
        <f t="shared" ca="1" si="35"/>
        <v>54736932</v>
      </c>
      <c r="E86" s="4">
        <f t="shared" ca="1" si="29"/>
        <v>6030262.2760362616</v>
      </c>
      <c r="F86" s="41">
        <f t="shared" ca="1" si="30"/>
        <v>860.48263071293684</v>
      </c>
      <c r="G86" s="1">
        <v>0.34</v>
      </c>
      <c r="H86" s="42">
        <v>0</v>
      </c>
      <c r="I86" s="1">
        <v>0</v>
      </c>
      <c r="J86" s="1">
        <v>0</v>
      </c>
      <c r="K86" s="4">
        <f t="shared" ca="1" si="1"/>
        <v>910.90379529640654</v>
      </c>
      <c r="L86" s="1">
        <v>0.16</v>
      </c>
      <c r="M86" s="4">
        <f t="shared" ca="1" si="31"/>
        <v>910.90379529640654</v>
      </c>
      <c r="N86" s="4"/>
      <c r="O86" s="4">
        <f t="shared" ca="1" si="32"/>
        <v>0.91</v>
      </c>
      <c r="P86" s="1">
        <f t="shared" si="33"/>
        <v>0</v>
      </c>
      <c r="Q86" s="4">
        <f t="shared" ca="1" si="34"/>
        <v>1056.6484025438317</v>
      </c>
    </row>
    <row r="87" spans="1:17" ht="18" customHeight="1">
      <c r="A87" s="1" t="s">
        <v>364</v>
      </c>
      <c r="B87" s="44">
        <v>3.4573467759910166E-2</v>
      </c>
      <c r="C87" s="42">
        <f t="shared" si="28"/>
        <v>49.334286187086427</v>
      </c>
      <c r="D87" s="1">
        <f t="shared" ca="1" si="35"/>
        <v>52646900</v>
      </c>
      <c r="E87" s="4">
        <f t="shared" ca="1" si="29"/>
        <v>5800007.4797808081</v>
      </c>
      <c r="F87" s="41">
        <f t="shared" ca="1" si="30"/>
        <v>827.62663809657647</v>
      </c>
      <c r="G87" s="1">
        <v>0.44</v>
      </c>
      <c r="H87" s="42">
        <v>0</v>
      </c>
      <c r="I87" s="1">
        <v>0</v>
      </c>
      <c r="J87" s="1">
        <v>0</v>
      </c>
      <c r="K87" s="4">
        <f t="shared" ca="1" si="1"/>
        <v>876.96092428366285</v>
      </c>
      <c r="L87" s="1">
        <v>0.14000000000000001</v>
      </c>
      <c r="M87" s="4">
        <f t="shared" ca="1" si="31"/>
        <v>876.96092428366285</v>
      </c>
      <c r="N87" s="4"/>
      <c r="O87" s="4">
        <f t="shared" ca="1" si="32"/>
        <v>0.88</v>
      </c>
      <c r="P87" s="1">
        <f t="shared" si="33"/>
        <v>0</v>
      </c>
      <c r="Q87" s="4">
        <f t="shared" ca="1" si="34"/>
        <v>999.73545368337568</v>
      </c>
    </row>
    <row r="88" spans="1:17" ht="18" customHeight="1">
      <c r="A88" s="1" t="s">
        <v>365</v>
      </c>
      <c r="B88" s="44">
        <v>3.85182808733553E-2</v>
      </c>
      <c r="C88" s="42">
        <f t="shared" si="28"/>
        <v>54.963300332984161</v>
      </c>
      <c r="D88" s="1">
        <f t="shared" ca="1" si="35"/>
        <v>53262574</v>
      </c>
      <c r="E88" s="4">
        <f t="shared" ca="1" si="29"/>
        <v>5867835.0974583272</v>
      </c>
      <c r="F88" s="41">
        <f t="shared" ca="1" si="30"/>
        <v>837.30523650946452</v>
      </c>
      <c r="G88" s="1">
        <v>0.37</v>
      </c>
      <c r="H88" s="42">
        <v>0</v>
      </c>
      <c r="I88" s="1">
        <v>0</v>
      </c>
      <c r="J88" s="1">
        <v>0</v>
      </c>
      <c r="K88" s="4">
        <f t="shared" ca="1" si="1"/>
        <v>892.26853684244873</v>
      </c>
      <c r="L88" s="1">
        <v>0.11</v>
      </c>
      <c r="M88" s="4">
        <f t="shared" ca="1" si="31"/>
        <v>892.26853684244873</v>
      </c>
      <c r="N88" s="4"/>
      <c r="O88" s="4">
        <f t="shared" ca="1" si="32"/>
        <v>0.89</v>
      </c>
      <c r="P88" s="1">
        <f t="shared" si="33"/>
        <v>0</v>
      </c>
      <c r="Q88" s="4">
        <f t="shared" ca="1" si="34"/>
        <v>990.41807589511814</v>
      </c>
    </row>
    <row r="89" spans="1:17" ht="18" customHeight="1">
      <c r="A89" s="1" t="s">
        <v>366</v>
      </c>
      <c r="B89" s="44">
        <v>3.5362220567506313E-2</v>
      </c>
      <c r="C89" s="42">
        <f t="shared" si="28"/>
        <v>50.459789622583209</v>
      </c>
      <c r="D89" s="1">
        <f t="shared" ca="1" si="35"/>
        <v>57774629</v>
      </c>
      <c r="E89" s="4">
        <f t="shared" ca="1" si="29"/>
        <v>6364919.4984236713</v>
      </c>
      <c r="F89" s="41">
        <f t="shared" ca="1" si="30"/>
        <v>908.23622979789832</v>
      </c>
      <c r="G89" s="1">
        <v>0.34</v>
      </c>
      <c r="H89" s="42">
        <v>0</v>
      </c>
      <c r="I89" s="1">
        <v>0</v>
      </c>
      <c r="J89" s="1">
        <v>0</v>
      </c>
      <c r="K89" s="4">
        <f t="shared" ca="1" si="1"/>
        <v>958.69601942048155</v>
      </c>
      <c r="L89" s="1">
        <v>0.15</v>
      </c>
      <c r="M89" s="4">
        <f t="shared" ca="1" si="31"/>
        <v>958.69601942048155</v>
      </c>
      <c r="N89" s="4"/>
      <c r="O89" s="4">
        <f t="shared" ca="1" si="32"/>
        <v>0.96</v>
      </c>
      <c r="P89" s="1">
        <f t="shared" si="33"/>
        <v>0</v>
      </c>
      <c r="Q89" s="4">
        <f t="shared" ca="1" si="34"/>
        <v>1102.5004223335538</v>
      </c>
    </row>
    <row r="90" spans="1:17" ht="18" customHeight="1">
      <c r="A90" s="1" t="s">
        <v>367</v>
      </c>
      <c r="B90" s="44">
        <v>3.318388865651703E-2</v>
      </c>
      <c r="C90" s="42">
        <f t="shared" si="28"/>
        <v>47.351439292975215</v>
      </c>
      <c r="D90" s="1">
        <f t="shared" ca="1" si="35"/>
        <v>59609026</v>
      </c>
      <c r="E90" s="4">
        <f t="shared" ca="1" si="29"/>
        <v>6567011.4795448286</v>
      </c>
      <c r="F90" s="41">
        <f t="shared" ca="1" si="30"/>
        <v>937.07355587112284</v>
      </c>
      <c r="G90" s="1">
        <v>0.37</v>
      </c>
      <c r="H90" s="42">
        <v>0</v>
      </c>
      <c r="I90" s="1">
        <v>0</v>
      </c>
      <c r="J90" s="1">
        <v>0</v>
      </c>
      <c r="K90" s="4">
        <f t="shared" ca="1" si="1"/>
        <v>984.42499516409805</v>
      </c>
      <c r="L90" s="1">
        <v>0.13</v>
      </c>
      <c r="M90" s="4">
        <f t="shared" ca="1" si="31"/>
        <v>984.42499516409805</v>
      </c>
      <c r="N90" s="4"/>
      <c r="O90" s="4">
        <f t="shared" ca="1" si="32"/>
        <v>0.98</v>
      </c>
      <c r="P90" s="1">
        <f t="shared" si="33"/>
        <v>0</v>
      </c>
      <c r="Q90" s="4">
        <f t="shared" ca="1" si="34"/>
        <v>1112.4002445354308</v>
      </c>
    </row>
    <row r="91" spans="1:17" ht="18" customHeight="1">
      <c r="A91" s="1" t="s">
        <v>368</v>
      </c>
      <c r="B91" s="44">
        <v>3.5826456212452784E-2</v>
      </c>
      <c r="C91" s="42">
        <f t="shared" si="28"/>
        <v>51.122226330554767</v>
      </c>
      <c r="D91" s="1">
        <f t="shared" ca="1" si="35"/>
        <v>54390578</v>
      </c>
      <c r="E91" s="4">
        <f t="shared" ca="1" si="29"/>
        <v>5992105.1235609595</v>
      </c>
      <c r="F91" s="41">
        <f t="shared" ca="1" si="30"/>
        <v>855.03783155835606</v>
      </c>
      <c r="G91" s="1">
        <v>0.35</v>
      </c>
      <c r="H91" s="42">
        <v>0</v>
      </c>
      <c r="I91" s="1">
        <v>0</v>
      </c>
      <c r="J91" s="1">
        <v>0</v>
      </c>
      <c r="K91" s="4">
        <f t="shared" ca="1" si="1"/>
        <v>906.16005788891084</v>
      </c>
      <c r="L91" s="1">
        <v>0.1</v>
      </c>
      <c r="M91" s="4">
        <f t="shared" ca="1" si="31"/>
        <v>906.16005788891084</v>
      </c>
      <c r="N91" s="4"/>
      <c r="O91" s="4">
        <f t="shared" ca="1" si="32"/>
        <v>0.91</v>
      </c>
      <c r="P91" s="1">
        <f t="shared" si="33"/>
        <v>0</v>
      </c>
      <c r="Q91" s="4">
        <f t="shared" ca="1" si="34"/>
        <v>996.77606367780197</v>
      </c>
    </row>
    <row r="92" spans="1:17" ht="18" customHeight="1">
      <c r="A92" s="1" t="s">
        <v>369</v>
      </c>
      <c r="B92" s="44">
        <v>3.9339267665445751E-2</v>
      </c>
      <c r="C92" s="42">
        <f t="shared" si="28"/>
        <v>56.134799750921452</v>
      </c>
      <c r="D92" s="1">
        <f t="shared" ca="1" si="35"/>
        <v>50101462</v>
      </c>
      <c r="E92" s="4">
        <f t="shared" ca="1" si="29"/>
        <v>5519581.4824415855</v>
      </c>
      <c r="F92" s="41">
        <f t="shared" ca="1" si="30"/>
        <v>787.61151290547741</v>
      </c>
      <c r="G92" s="1">
        <v>0.44</v>
      </c>
      <c r="H92" s="42">
        <v>0</v>
      </c>
      <c r="I92" s="1">
        <v>0</v>
      </c>
      <c r="J92" s="1">
        <v>0</v>
      </c>
      <c r="K92" s="4">
        <f t="shared" ca="1" si="1"/>
        <v>843.74631265639891</v>
      </c>
      <c r="L92" s="1">
        <v>0.22</v>
      </c>
      <c r="M92" s="4">
        <f t="shared" ca="1" si="31"/>
        <v>843.74631265639891</v>
      </c>
      <c r="N92" s="4"/>
      <c r="O92" s="4">
        <f t="shared" ca="1" si="32"/>
        <v>0.84</v>
      </c>
      <c r="P92" s="1">
        <f t="shared" si="33"/>
        <v>0</v>
      </c>
      <c r="Q92" s="4">
        <f t="shared" ca="1" si="34"/>
        <v>1029.3705014408067</v>
      </c>
    </row>
    <row r="93" spans="1:17" ht="18" customHeight="1">
      <c r="A93" s="1" t="s">
        <v>370</v>
      </c>
      <c r="B93" s="44">
        <v>3.1683030925037874E-2</v>
      </c>
      <c r="C93" s="42">
        <f t="shared" si="28"/>
        <v>45.209804402165915</v>
      </c>
      <c r="D93" s="1">
        <f t="shared" ca="1" si="35"/>
        <v>57670325</v>
      </c>
      <c r="E93" s="4">
        <f t="shared" ca="1" si="29"/>
        <v>6353428.5278219637</v>
      </c>
      <c r="F93" s="41">
        <f t="shared" ca="1" si="30"/>
        <v>906.5965365042756</v>
      </c>
      <c r="G93" s="1">
        <v>0.39</v>
      </c>
      <c r="H93" s="42">
        <v>0</v>
      </c>
      <c r="I93" s="1">
        <v>0</v>
      </c>
      <c r="J93" s="1">
        <v>0</v>
      </c>
      <c r="K93" s="4">
        <f t="shared" ca="1" si="1"/>
        <v>951.80634090644151</v>
      </c>
      <c r="L93" s="1">
        <v>0.11</v>
      </c>
      <c r="M93" s="4">
        <f t="shared" ca="1" si="31"/>
        <v>951.80634090644151</v>
      </c>
      <c r="N93" s="4"/>
      <c r="O93" s="4">
        <f t="shared" ca="1" si="32"/>
        <v>0.95</v>
      </c>
      <c r="P93" s="1">
        <f t="shared" si="33"/>
        <v>0</v>
      </c>
      <c r="Q93" s="4">
        <f t="shared" ca="1" si="34"/>
        <v>1056.5050384061501</v>
      </c>
    </row>
    <row r="94" spans="1:17" ht="18" customHeight="1">
      <c r="A94" s="1" t="s">
        <v>371</v>
      </c>
      <c r="B94" s="44">
        <v>3.6289260266901699E-2</v>
      </c>
      <c r="C94" s="42">
        <f t="shared" si="28"/>
        <v>51.782620243866582</v>
      </c>
      <c r="D94" s="1">
        <f t="shared" ca="1" si="35"/>
        <v>55263729</v>
      </c>
      <c r="E94" s="4">
        <f t="shared" ca="1" si="29"/>
        <v>6088298.4859617483</v>
      </c>
      <c r="F94" s="41">
        <f t="shared" ca="1" si="30"/>
        <v>868.76405336212167</v>
      </c>
      <c r="G94" s="1">
        <v>0.33</v>
      </c>
      <c r="H94" s="42">
        <v>0</v>
      </c>
      <c r="I94" s="1">
        <v>0</v>
      </c>
      <c r="J94" s="1">
        <v>0</v>
      </c>
      <c r="K94" s="4">
        <f t="shared" ca="1" si="1"/>
        <v>920.5466736059883</v>
      </c>
      <c r="L94" s="1">
        <v>0.13</v>
      </c>
      <c r="M94" s="4">
        <f t="shared" ca="1" si="31"/>
        <v>920.5466736059883</v>
      </c>
      <c r="N94" s="4"/>
      <c r="O94" s="4">
        <f t="shared" ca="1" si="32"/>
        <v>0.92</v>
      </c>
      <c r="P94" s="1">
        <f t="shared" si="33"/>
        <v>0</v>
      </c>
      <c r="Q94" s="4">
        <f t="shared" ca="1" si="34"/>
        <v>1040.2177411747668</v>
      </c>
    </row>
    <row r="95" spans="1:17" ht="18" customHeight="1">
      <c r="A95" s="1" t="s">
        <v>372</v>
      </c>
      <c r="B95" s="44">
        <v>3.6852848048511536E-2</v>
      </c>
      <c r="C95" s="42">
        <f t="shared" si="28"/>
        <v>52.586826553241352</v>
      </c>
      <c r="D95" s="1">
        <f t="shared" ca="1" si="35"/>
        <v>55084179</v>
      </c>
      <c r="E95" s="4">
        <f t="shared" ca="1" si="29"/>
        <v>6068517.8086000299</v>
      </c>
      <c r="F95" s="41">
        <f t="shared" ca="1" si="30"/>
        <v>865.94146812215035</v>
      </c>
      <c r="G95" s="1">
        <v>0.35</v>
      </c>
      <c r="H95" s="42">
        <v>0</v>
      </c>
      <c r="I95" s="1">
        <v>0</v>
      </c>
      <c r="J95" s="1">
        <v>0</v>
      </c>
      <c r="K95" s="4">
        <f t="shared" ca="1" si="1"/>
        <v>918.52829467539175</v>
      </c>
      <c r="L95" s="1">
        <v>0.17</v>
      </c>
      <c r="M95" s="4">
        <f t="shared" ca="1" si="31"/>
        <v>918.52829467539175</v>
      </c>
      <c r="N95" s="4"/>
      <c r="O95" s="4">
        <f t="shared" ca="1" si="32"/>
        <v>0.92</v>
      </c>
      <c r="P95" s="1">
        <f t="shared" si="33"/>
        <v>0</v>
      </c>
      <c r="Q95" s="4">
        <f t="shared" ca="1" si="34"/>
        <v>1074.6781047702084</v>
      </c>
    </row>
    <row r="96" spans="1:17" ht="18" customHeight="1">
      <c r="B96" s="44"/>
      <c r="E96" s="4"/>
      <c r="F96" s="41"/>
      <c r="G96" s="1"/>
      <c r="K96" s="4"/>
      <c r="L96" s="1"/>
      <c r="O96" s="4"/>
      <c r="Q96" s="4"/>
    </row>
    <row r="97" spans="1:17" ht="18" customHeight="1">
      <c r="A97" s="3" t="s">
        <v>97</v>
      </c>
      <c r="B97" s="44"/>
      <c r="E97" s="4"/>
      <c r="F97" s="41"/>
      <c r="G97" s="1"/>
      <c r="K97" s="4"/>
      <c r="L97" s="1"/>
      <c r="O97" s="4"/>
      <c r="Q97" s="4"/>
    </row>
    <row r="98" spans="1:17" ht="18" customHeight="1">
      <c r="A98" s="1" t="s">
        <v>373</v>
      </c>
      <c r="B98" s="44">
        <v>0.34499999999999997</v>
      </c>
      <c r="C98" s="42">
        <f t="shared" ref="C98:C109" si="36">(B98*10^7)/(8760*$B$1)</f>
        <v>492.29452054794513</v>
      </c>
      <c r="D98" s="1">
        <f>19*10^7</f>
        <v>190000000</v>
      </c>
      <c r="E98" s="4">
        <f t="shared" ref="E98:E109" si="37">D98*$B$4</f>
        <v>20931933.71610396</v>
      </c>
      <c r="F98" s="41">
        <f t="shared" ref="F98:F109" si="38">(E98)/(8760*$B$1)</f>
        <v>2986.8626878002224</v>
      </c>
      <c r="G98" s="1">
        <v>0.45</v>
      </c>
      <c r="H98" s="42">
        <v>0</v>
      </c>
      <c r="I98" s="1">
        <v>0</v>
      </c>
      <c r="J98" s="1">
        <v>0</v>
      </c>
      <c r="K98" s="4">
        <f t="shared" si="1"/>
        <v>3479.1572083481674</v>
      </c>
      <c r="L98" s="1">
        <v>0.22</v>
      </c>
      <c r="M98" s="4">
        <f t="shared" ref="M98:M109" si="39">C98+F98</f>
        <v>3479.1572083481674</v>
      </c>
      <c r="N98" s="4"/>
      <c r="O98" s="4">
        <f t="shared" ref="O98:O109" si="40">ROUND((C98+F98)/1000,2)</f>
        <v>3.48</v>
      </c>
      <c r="P98" s="1">
        <f t="shared" ref="P98:P109" si="41">H98/1000</f>
        <v>0</v>
      </c>
      <c r="Q98" s="4">
        <f t="shared" ref="Q98:Q109" si="42">K98+L98*K98</f>
        <v>4244.5717941847643</v>
      </c>
    </row>
    <row r="99" spans="1:17" ht="18" customHeight="1">
      <c r="A99" s="1" t="s">
        <v>374</v>
      </c>
      <c r="B99" s="44">
        <v>0.38222713234134253</v>
      </c>
      <c r="C99" s="42">
        <f t="shared" si="36"/>
        <v>545.41542856926731</v>
      </c>
      <c r="D99" s="1">
        <f t="shared" ref="D99:D109" ca="1" si="43">RANDBETWEEN(11.7*10^7,19*10^7)</f>
        <v>174216961</v>
      </c>
      <c r="E99" s="4">
        <f t="shared" ca="1" si="37"/>
        <v>19193146.736174043</v>
      </c>
      <c r="F99" s="41">
        <f t="shared" ca="1" si="38"/>
        <v>2738.7481073307708</v>
      </c>
      <c r="G99" s="1">
        <v>0.35</v>
      </c>
      <c r="H99" s="42">
        <f t="shared" ref="H99:H109" ca="1" si="44">RANDBETWEEN(650,800)</f>
        <v>775</v>
      </c>
      <c r="I99" s="1">
        <v>0</v>
      </c>
      <c r="J99" s="1">
        <v>0</v>
      </c>
      <c r="K99" s="4">
        <f t="shared" ca="1" si="1"/>
        <v>4059.1635359000384</v>
      </c>
      <c r="L99" s="1">
        <v>0.11</v>
      </c>
      <c r="M99" s="4">
        <f t="shared" ca="1" si="39"/>
        <v>3284.1635359000384</v>
      </c>
      <c r="N99" s="4"/>
      <c r="O99" s="4">
        <f t="shared" ca="1" si="40"/>
        <v>3.28</v>
      </c>
      <c r="P99" s="1">
        <f t="shared" ca="1" si="41"/>
        <v>0.77500000000000002</v>
      </c>
      <c r="Q99" s="4">
        <f t="shared" ca="1" si="42"/>
        <v>4505.6715248490427</v>
      </c>
    </row>
    <row r="100" spans="1:17" ht="18" customHeight="1">
      <c r="A100" s="1" t="s">
        <v>375</v>
      </c>
      <c r="B100" s="44">
        <v>0.36007642485722069</v>
      </c>
      <c r="C100" s="42">
        <f t="shared" si="36"/>
        <v>513.80768387160492</v>
      </c>
      <c r="D100" s="1">
        <f t="shared" ca="1" si="43"/>
        <v>165862751</v>
      </c>
      <c r="E100" s="4">
        <f t="shared" ca="1" si="37"/>
        <v>18272779.52580345</v>
      </c>
      <c r="F100" s="41">
        <f t="shared" ca="1" si="38"/>
        <v>2607.4171697778897</v>
      </c>
      <c r="G100" s="1">
        <v>0.33</v>
      </c>
      <c r="H100" s="42">
        <f t="shared" ca="1" si="44"/>
        <v>739</v>
      </c>
      <c r="I100" s="1">
        <v>0</v>
      </c>
      <c r="J100" s="1">
        <v>0</v>
      </c>
      <c r="K100" s="4">
        <f t="shared" ca="1" si="1"/>
        <v>3860.2248536494944</v>
      </c>
      <c r="L100" s="1">
        <v>0.21</v>
      </c>
      <c r="M100" s="4">
        <f t="shared" ca="1" si="39"/>
        <v>3121.2248536494944</v>
      </c>
      <c r="N100" s="4"/>
      <c r="O100" s="4">
        <f t="shared" ca="1" si="40"/>
        <v>3.12</v>
      </c>
      <c r="P100" s="1">
        <f t="shared" ca="1" si="41"/>
        <v>0.73899999999999999</v>
      </c>
      <c r="Q100" s="4">
        <f t="shared" ca="1" si="42"/>
        <v>4670.8720729158886</v>
      </c>
    </row>
    <row r="101" spans="1:17" ht="18" customHeight="1">
      <c r="A101" s="1" t="s">
        <v>376</v>
      </c>
      <c r="B101" s="44">
        <v>0.31346954885116207</v>
      </c>
      <c r="C101" s="42">
        <f t="shared" si="36"/>
        <v>447.30243842916963</v>
      </c>
      <c r="D101" s="1">
        <f t="shared" ca="1" si="43"/>
        <v>167145072</v>
      </c>
      <c r="E101" s="4">
        <f t="shared" ca="1" si="37"/>
        <v>18414050.358302232</v>
      </c>
      <c r="F101" s="41">
        <f t="shared" ca="1" si="38"/>
        <v>2627.5756789814827</v>
      </c>
      <c r="G101" s="1">
        <v>0.38</v>
      </c>
      <c r="H101" s="42">
        <f t="shared" ca="1" si="44"/>
        <v>786</v>
      </c>
      <c r="I101" s="1">
        <v>0</v>
      </c>
      <c r="J101" s="1">
        <v>0</v>
      </c>
      <c r="K101" s="4">
        <f t="shared" ca="1" si="1"/>
        <v>3860.8781174106525</v>
      </c>
      <c r="L101" s="1">
        <v>0.12</v>
      </c>
      <c r="M101" s="4">
        <f t="shared" ca="1" si="39"/>
        <v>3074.8781174106525</v>
      </c>
      <c r="N101" s="4"/>
      <c r="O101" s="4">
        <f t="shared" ca="1" si="40"/>
        <v>3.07</v>
      </c>
      <c r="P101" s="1">
        <f t="shared" ca="1" si="41"/>
        <v>0.78600000000000003</v>
      </c>
      <c r="Q101" s="4">
        <f t="shared" ca="1" si="42"/>
        <v>4324.1834914999308</v>
      </c>
    </row>
    <row r="102" spans="1:17" ht="18" customHeight="1">
      <c r="A102" s="1" t="s">
        <v>377</v>
      </c>
      <c r="B102" s="44">
        <v>0.26824493600735244</v>
      </c>
      <c r="C102" s="42">
        <f t="shared" si="36"/>
        <v>382.76960046711253</v>
      </c>
      <c r="D102" s="1">
        <f t="shared" ca="1" si="43"/>
        <v>137287622</v>
      </c>
      <c r="E102" s="4">
        <f t="shared" ca="1" si="37"/>
        <v>15124712.651292292</v>
      </c>
      <c r="F102" s="41">
        <f t="shared" ca="1" si="38"/>
        <v>2158.2067139401101</v>
      </c>
      <c r="G102" s="1">
        <v>0.43</v>
      </c>
      <c r="H102" s="42">
        <f t="shared" ca="1" si="44"/>
        <v>789</v>
      </c>
      <c r="I102" s="1">
        <v>0</v>
      </c>
      <c r="J102" s="1">
        <v>0</v>
      </c>
      <c r="K102" s="4">
        <f t="shared" ca="1" si="1"/>
        <v>3329.9763144072226</v>
      </c>
      <c r="L102" s="1">
        <v>0.15</v>
      </c>
      <c r="M102" s="4">
        <f t="shared" ca="1" si="39"/>
        <v>2540.9763144072226</v>
      </c>
      <c r="N102" s="4"/>
      <c r="O102" s="4">
        <f t="shared" ca="1" si="40"/>
        <v>2.54</v>
      </c>
      <c r="P102" s="1">
        <f t="shared" ca="1" si="41"/>
        <v>0.78900000000000003</v>
      </c>
      <c r="Q102" s="4">
        <f t="shared" ca="1" si="42"/>
        <v>3829.4727615683059</v>
      </c>
    </row>
    <row r="103" spans="1:17" ht="18" customHeight="1">
      <c r="A103" s="1" t="s">
        <v>378</v>
      </c>
      <c r="B103" s="44">
        <v>0.29065877224690617</v>
      </c>
      <c r="C103" s="42">
        <f t="shared" si="36"/>
        <v>414.75281427926109</v>
      </c>
      <c r="D103" s="1">
        <f t="shared" ca="1" si="43"/>
        <v>178032778</v>
      </c>
      <c r="E103" s="4">
        <f t="shared" ca="1" si="37"/>
        <v>19613527.938893955</v>
      </c>
      <c r="F103" s="41">
        <f t="shared" ca="1" si="38"/>
        <v>2798.7340095453701</v>
      </c>
      <c r="G103" s="1">
        <v>0.45</v>
      </c>
      <c r="H103" s="42">
        <f t="shared" ca="1" si="44"/>
        <v>771</v>
      </c>
      <c r="I103" s="1">
        <v>0</v>
      </c>
      <c r="J103" s="1">
        <v>0</v>
      </c>
      <c r="K103" s="4">
        <f t="shared" ca="1" si="1"/>
        <v>3984.4868238246313</v>
      </c>
      <c r="L103" s="1">
        <v>0.18</v>
      </c>
      <c r="M103" s="4">
        <f t="shared" ca="1" si="39"/>
        <v>3213.4868238246313</v>
      </c>
      <c r="N103" s="4"/>
      <c r="O103" s="4">
        <f t="shared" ca="1" si="40"/>
        <v>3.21</v>
      </c>
      <c r="P103" s="1">
        <f t="shared" ca="1" si="41"/>
        <v>0.77100000000000002</v>
      </c>
      <c r="Q103" s="4">
        <f t="shared" ca="1" si="42"/>
        <v>4701.6944521130645</v>
      </c>
    </row>
    <row r="104" spans="1:17" ht="18" customHeight="1">
      <c r="A104" s="1" t="s">
        <v>379</v>
      </c>
      <c r="B104" s="44">
        <v>0.30116135750348427</v>
      </c>
      <c r="C104" s="42">
        <f t="shared" si="36"/>
        <v>429.73937999926409</v>
      </c>
      <c r="D104" s="1">
        <f t="shared" ca="1" si="43"/>
        <v>173512936</v>
      </c>
      <c r="E104" s="4">
        <f t="shared" ca="1" si="37"/>
        <v>19115585.659150466</v>
      </c>
      <c r="F104" s="41">
        <f t="shared" ca="1" si="38"/>
        <v>2727.6806020477266</v>
      </c>
      <c r="G104" s="1">
        <v>0.33</v>
      </c>
      <c r="H104" s="42">
        <f t="shared" ca="1" si="44"/>
        <v>729</v>
      </c>
      <c r="I104" s="1">
        <v>0</v>
      </c>
      <c r="J104" s="1">
        <v>0</v>
      </c>
      <c r="K104" s="4">
        <f t="shared" ca="1" si="1"/>
        <v>3886.4199820469908</v>
      </c>
      <c r="L104" s="1">
        <v>0.13</v>
      </c>
      <c r="M104" s="4">
        <f t="shared" ca="1" si="39"/>
        <v>3157.4199820469908</v>
      </c>
      <c r="N104" s="4"/>
      <c r="O104" s="4">
        <f t="shared" ca="1" si="40"/>
        <v>3.16</v>
      </c>
      <c r="P104" s="1">
        <f t="shared" ca="1" si="41"/>
        <v>0.72899999999999998</v>
      </c>
      <c r="Q104" s="4">
        <f t="shared" ca="1" si="42"/>
        <v>4391.6545797130993</v>
      </c>
    </row>
    <row r="105" spans="1:17" ht="18" customHeight="1">
      <c r="A105" s="1" t="s">
        <v>380</v>
      </c>
      <c r="B105" s="44">
        <v>0.41539146570892216</v>
      </c>
      <c r="C105" s="42">
        <f t="shared" si="36"/>
        <v>592.7389636257451</v>
      </c>
      <c r="D105" s="1">
        <f t="shared" ca="1" si="43"/>
        <v>129931440</v>
      </c>
      <c r="E105" s="4">
        <f t="shared" ca="1" si="37"/>
        <v>14314296.261673361</v>
      </c>
      <c r="F105" s="41">
        <f t="shared" ca="1" si="38"/>
        <v>2042.5651058323861</v>
      </c>
      <c r="G105" s="1">
        <v>0.39</v>
      </c>
      <c r="H105" s="42">
        <f t="shared" ca="1" si="44"/>
        <v>789</v>
      </c>
      <c r="I105" s="1">
        <v>0</v>
      </c>
      <c r="J105" s="1">
        <v>0</v>
      </c>
      <c r="K105" s="4">
        <f t="shared" ca="1" si="1"/>
        <v>3424.3040694581314</v>
      </c>
      <c r="L105" s="1">
        <v>0.19</v>
      </c>
      <c r="M105" s="4">
        <f t="shared" ca="1" si="39"/>
        <v>2635.3040694581314</v>
      </c>
      <c r="N105" s="4"/>
      <c r="O105" s="4">
        <f t="shared" ca="1" si="40"/>
        <v>2.64</v>
      </c>
      <c r="P105" s="1">
        <f t="shared" ca="1" si="41"/>
        <v>0.78900000000000003</v>
      </c>
      <c r="Q105" s="4">
        <f t="shared" ca="1" si="42"/>
        <v>4074.9218426551761</v>
      </c>
    </row>
    <row r="106" spans="1:17" ht="18" customHeight="1">
      <c r="A106" s="1" t="s">
        <v>381</v>
      </c>
      <c r="B106" s="44">
        <v>0.39113641019743967</v>
      </c>
      <c r="C106" s="42">
        <f t="shared" si="36"/>
        <v>558.12843920867533</v>
      </c>
      <c r="D106" s="1">
        <f t="shared" ca="1" si="43"/>
        <v>134267236</v>
      </c>
      <c r="E106" s="4">
        <f t="shared" ca="1" si="37"/>
        <v>14791962.548402565</v>
      </c>
      <c r="F106" s="41">
        <f t="shared" ca="1" si="38"/>
        <v>2110.7252494866675</v>
      </c>
      <c r="G106" s="1">
        <v>0.41</v>
      </c>
      <c r="H106" s="42">
        <f t="shared" ca="1" si="44"/>
        <v>727</v>
      </c>
      <c r="I106" s="1">
        <v>0</v>
      </c>
      <c r="J106" s="1">
        <v>0</v>
      </c>
      <c r="K106" s="4">
        <f t="shared" ca="1" si="1"/>
        <v>3395.853688695343</v>
      </c>
      <c r="L106" s="1">
        <v>0.16</v>
      </c>
      <c r="M106" s="4">
        <f t="shared" ca="1" si="39"/>
        <v>2668.853688695343</v>
      </c>
      <c r="N106" s="4"/>
      <c r="O106" s="4">
        <f t="shared" ca="1" si="40"/>
        <v>2.67</v>
      </c>
      <c r="P106" s="1">
        <f t="shared" ca="1" si="41"/>
        <v>0.72699999999999998</v>
      </c>
      <c r="Q106" s="4">
        <f t="shared" ca="1" si="42"/>
        <v>3939.1902788865978</v>
      </c>
    </row>
    <row r="107" spans="1:17" ht="18" customHeight="1">
      <c r="A107" s="1" t="s">
        <v>382</v>
      </c>
      <c r="B107" s="44">
        <v>0.42504114203020971</v>
      </c>
      <c r="C107" s="42">
        <f t="shared" si="36"/>
        <v>606.50847892438594</v>
      </c>
      <c r="D107" s="1">
        <f t="shared" ca="1" si="43"/>
        <v>148237853</v>
      </c>
      <c r="E107" s="4">
        <f t="shared" ca="1" si="37"/>
        <v>16331078.490597697</v>
      </c>
      <c r="F107" s="41">
        <f t="shared" ca="1" si="38"/>
        <v>2330.3479581332331</v>
      </c>
      <c r="G107" s="1">
        <v>0.38</v>
      </c>
      <c r="H107" s="42">
        <f t="shared" ca="1" si="44"/>
        <v>779</v>
      </c>
      <c r="I107" s="1">
        <v>0</v>
      </c>
      <c r="J107" s="1">
        <v>0</v>
      </c>
      <c r="K107" s="4">
        <f t="shared" ca="1" si="1"/>
        <v>3715.8564370576191</v>
      </c>
      <c r="L107" s="1">
        <v>0.22</v>
      </c>
      <c r="M107" s="4">
        <f t="shared" ca="1" si="39"/>
        <v>2936.8564370576191</v>
      </c>
      <c r="N107" s="4"/>
      <c r="O107" s="4">
        <f t="shared" ca="1" si="40"/>
        <v>2.94</v>
      </c>
      <c r="P107" s="1">
        <f t="shared" ca="1" si="41"/>
        <v>0.77900000000000003</v>
      </c>
      <c r="Q107" s="4">
        <f t="shared" ca="1" si="42"/>
        <v>4533.3448532102957</v>
      </c>
    </row>
    <row r="108" spans="1:17" ht="18" customHeight="1">
      <c r="A108" s="1" t="s">
        <v>383</v>
      </c>
      <c r="B108" s="44">
        <v>0.32221784273191612</v>
      </c>
      <c r="C108" s="42">
        <f t="shared" si="36"/>
        <v>459.78573449188946</v>
      </c>
      <c r="D108" s="1">
        <f t="shared" ca="1" si="43"/>
        <v>146699487</v>
      </c>
      <c r="E108" s="4">
        <f t="shared" ca="1" si="37"/>
        <v>16161599.674055023</v>
      </c>
      <c r="F108" s="41">
        <f t="shared" ca="1" si="38"/>
        <v>2306.1643370512306</v>
      </c>
      <c r="G108" s="1">
        <v>0.39</v>
      </c>
      <c r="H108" s="42">
        <f t="shared" ca="1" si="44"/>
        <v>739</v>
      </c>
      <c r="I108" s="1">
        <v>0</v>
      </c>
      <c r="J108" s="1">
        <v>0</v>
      </c>
      <c r="K108" s="4">
        <f t="shared" ca="1" si="1"/>
        <v>3504.95007154312</v>
      </c>
      <c r="L108" s="1">
        <v>0.12</v>
      </c>
      <c r="M108" s="4">
        <f t="shared" ca="1" si="39"/>
        <v>2765.95007154312</v>
      </c>
      <c r="N108" s="4"/>
      <c r="O108" s="4">
        <f t="shared" ca="1" si="40"/>
        <v>2.77</v>
      </c>
      <c r="P108" s="1">
        <f t="shared" ca="1" si="41"/>
        <v>0.73899999999999999</v>
      </c>
      <c r="Q108" s="4">
        <f t="shared" ca="1" si="42"/>
        <v>3925.5440801282944</v>
      </c>
    </row>
    <row r="109" spans="1:17" ht="18" customHeight="1">
      <c r="A109" s="1" t="s">
        <v>384</v>
      </c>
      <c r="B109" s="44">
        <v>0.3755637891457943</v>
      </c>
      <c r="C109" s="42">
        <f t="shared" si="36"/>
        <v>535.90723337014026</v>
      </c>
      <c r="D109" s="1">
        <f t="shared" ca="1" si="43"/>
        <v>132950025</v>
      </c>
      <c r="E109" s="4">
        <f t="shared" ca="1" si="37"/>
        <v>14646847.951865075</v>
      </c>
      <c r="F109" s="41">
        <f t="shared" ca="1" si="38"/>
        <v>2090.0182579716147</v>
      </c>
      <c r="G109" s="1">
        <v>0.39</v>
      </c>
      <c r="H109" s="42">
        <f t="shared" ca="1" si="44"/>
        <v>668</v>
      </c>
      <c r="I109" s="1">
        <v>0</v>
      </c>
      <c r="J109" s="1">
        <v>0</v>
      </c>
      <c r="K109" s="4">
        <f t="shared" ca="1" si="1"/>
        <v>3293.9254913417549</v>
      </c>
      <c r="L109" s="1">
        <v>0.24</v>
      </c>
      <c r="M109" s="4">
        <f t="shared" ca="1" si="39"/>
        <v>2625.9254913417549</v>
      </c>
      <c r="N109" s="4"/>
      <c r="O109" s="4">
        <f t="shared" ca="1" si="40"/>
        <v>2.63</v>
      </c>
      <c r="P109" s="1">
        <f t="shared" ca="1" si="41"/>
        <v>0.66800000000000004</v>
      </c>
      <c r="Q109" s="4">
        <f t="shared" ca="1" si="42"/>
        <v>4084.467609263776</v>
      </c>
    </row>
    <row r="110" spans="1:17" ht="18" customHeight="1">
      <c r="B110" s="44"/>
      <c r="E110" s="4"/>
      <c r="F110" s="41"/>
      <c r="G110" s="1"/>
      <c r="K110" s="4"/>
      <c r="L110" s="1"/>
      <c r="O110" s="4"/>
      <c r="Q110" s="4"/>
    </row>
    <row r="111" spans="1:17" ht="18" customHeight="1">
      <c r="A111" s="3" t="s">
        <v>79</v>
      </c>
      <c r="B111" s="44"/>
      <c r="E111" s="4"/>
      <c r="F111" s="41"/>
      <c r="G111" s="1"/>
      <c r="K111" s="4"/>
      <c r="L111" s="1"/>
      <c r="O111" s="4"/>
      <c r="Q111" s="4"/>
    </row>
    <row r="112" spans="1:17" ht="18" customHeight="1">
      <c r="A112" s="1" t="s">
        <v>385</v>
      </c>
      <c r="B112" s="10">
        <v>6.8000000000000005E-2</v>
      </c>
      <c r="C112" s="42">
        <f t="shared" ref="C112:C131" si="45">(B112*10^7)/(8760*$B$1)</f>
        <v>97.031963470319639</v>
      </c>
      <c r="D112" s="1">
        <f>6.66*10^7</f>
        <v>66600000</v>
      </c>
      <c r="E112" s="4">
        <f t="shared" ref="E112:E129" si="46">D112*$B$4</f>
        <v>7337193.607855388</v>
      </c>
      <c r="F112" s="41">
        <f t="shared" ref="F112:F131" si="47">(E112)/(8760*$B$1)</f>
        <v>1046.9739737236569</v>
      </c>
      <c r="G112" s="1">
        <v>0.37</v>
      </c>
      <c r="H112" s="42">
        <v>0</v>
      </c>
      <c r="I112" s="1">
        <v>0</v>
      </c>
      <c r="J112" s="1">
        <v>0</v>
      </c>
      <c r="K112" s="4">
        <f t="shared" si="1"/>
        <v>1144.0059371939765</v>
      </c>
      <c r="L112" s="1">
        <v>0.13</v>
      </c>
      <c r="M112" s="4">
        <f t="shared" ref="M112:M131" si="48">C112+F112</f>
        <v>1144.0059371939765</v>
      </c>
      <c r="N112" s="4"/>
      <c r="O112" s="4">
        <f t="shared" ref="O112:O129" si="49">ROUND((C112+F112)/1000,2)</f>
        <v>1.1399999999999999</v>
      </c>
      <c r="P112" s="1">
        <f t="shared" ref="P112:P129" si="50">H112/1000</f>
        <v>0</v>
      </c>
      <c r="Q112" s="4">
        <f t="shared" ref="Q112:Q129" si="51">K112+L112*K112</f>
        <v>1292.7267090291934</v>
      </c>
    </row>
    <row r="113" spans="1:17" ht="18" customHeight="1">
      <c r="A113" s="1" t="s">
        <v>386</v>
      </c>
      <c r="B113" s="44">
        <v>0.65445294595045489</v>
      </c>
      <c r="C113" s="42">
        <f t="shared" si="45"/>
        <v>933.86550506628828</v>
      </c>
      <c r="D113" s="1">
        <f t="shared" ref="D113:D129" ca="1" si="52">RANDBETWEEN(2*10^7,8*10^7)</f>
        <v>29820401</v>
      </c>
      <c r="E113" s="4">
        <f t="shared" ca="1" si="46"/>
        <v>3285256.0901033697</v>
      </c>
      <c r="F113" s="41">
        <f t="shared" ca="1" si="47"/>
        <v>468.78654253758128</v>
      </c>
      <c r="G113" s="1">
        <v>0.33</v>
      </c>
      <c r="H113" s="42">
        <v>0</v>
      </c>
      <c r="I113" s="1">
        <v>0</v>
      </c>
      <c r="J113" s="1">
        <v>0</v>
      </c>
      <c r="K113" s="4">
        <f t="shared" ca="1" si="1"/>
        <v>1402.6520476038695</v>
      </c>
      <c r="L113" s="1">
        <v>0.19</v>
      </c>
      <c r="M113" s="4">
        <f t="shared" ca="1" si="48"/>
        <v>1402.6520476038695</v>
      </c>
      <c r="N113" s="4"/>
      <c r="O113" s="4">
        <f t="shared" ca="1" si="49"/>
        <v>1.4</v>
      </c>
      <c r="P113" s="1">
        <f t="shared" si="50"/>
        <v>0</v>
      </c>
      <c r="Q113" s="4">
        <f t="shared" ca="1" si="51"/>
        <v>1669.1559366486047</v>
      </c>
    </row>
    <row r="114" spans="1:17" ht="18" customHeight="1">
      <c r="A114" s="1" t="s">
        <v>387</v>
      </c>
      <c r="B114" s="44">
        <v>0.48425199920145778</v>
      </c>
      <c r="C114" s="42">
        <f t="shared" si="45"/>
        <v>690.99885730801623</v>
      </c>
      <c r="D114" s="1">
        <f t="shared" ca="1" si="52"/>
        <v>41402897</v>
      </c>
      <c r="E114" s="4">
        <f t="shared" ca="1" si="46"/>
        <v>4561277.3455719976</v>
      </c>
      <c r="F114" s="41">
        <f t="shared" ca="1" si="47"/>
        <v>650.86720113755678</v>
      </c>
      <c r="G114" s="1">
        <v>0.39</v>
      </c>
      <c r="H114" s="42">
        <v>0</v>
      </c>
      <c r="I114" s="1">
        <v>0</v>
      </c>
      <c r="J114" s="1">
        <v>0</v>
      </c>
      <c r="K114" s="4">
        <f t="shared" ca="1" si="1"/>
        <v>1341.8660584455729</v>
      </c>
      <c r="L114" s="1">
        <v>0.21</v>
      </c>
      <c r="M114" s="4">
        <f t="shared" ca="1" si="48"/>
        <v>1341.8660584455729</v>
      </c>
      <c r="N114" s="4"/>
      <c r="O114" s="4">
        <f t="shared" ca="1" si="49"/>
        <v>1.34</v>
      </c>
      <c r="P114" s="1">
        <f t="shared" si="50"/>
        <v>0</v>
      </c>
      <c r="Q114" s="4">
        <f t="shared" ca="1" si="51"/>
        <v>1623.6579307191432</v>
      </c>
    </row>
    <row r="115" spans="1:17" ht="18" customHeight="1">
      <c r="A115" s="1" t="s">
        <v>388</v>
      </c>
      <c r="B115" s="44">
        <v>6.4325072670688377E-2</v>
      </c>
      <c r="C115" s="42">
        <f t="shared" si="45"/>
        <v>91.788060317763097</v>
      </c>
      <c r="D115" s="1">
        <f t="shared" ca="1" si="52"/>
        <v>67363865</v>
      </c>
      <c r="E115" s="4">
        <f t="shared" ca="1" si="46"/>
        <v>7421347.1423188178</v>
      </c>
      <c r="F115" s="41">
        <f t="shared" ca="1" si="47"/>
        <v>1058.9821835500595</v>
      </c>
      <c r="G115" s="1">
        <v>0.4</v>
      </c>
      <c r="H115" s="42">
        <v>0</v>
      </c>
      <c r="I115" s="1">
        <v>0</v>
      </c>
      <c r="J115" s="1">
        <v>0</v>
      </c>
      <c r="K115" s="4">
        <f t="shared" ca="1" si="1"/>
        <v>1150.7702438678225</v>
      </c>
      <c r="L115" s="1">
        <v>0.19</v>
      </c>
      <c r="M115" s="4">
        <f t="shared" ca="1" si="48"/>
        <v>1150.7702438678225</v>
      </c>
      <c r="N115" s="4"/>
      <c r="O115" s="4">
        <f t="shared" ca="1" si="49"/>
        <v>1.1499999999999999</v>
      </c>
      <c r="P115" s="1">
        <f t="shared" si="50"/>
        <v>0</v>
      </c>
      <c r="Q115" s="4">
        <f t="shared" ca="1" si="51"/>
        <v>1369.4165902027089</v>
      </c>
    </row>
    <row r="116" spans="1:17" ht="18" customHeight="1">
      <c r="A116" s="1" t="s">
        <v>389</v>
      </c>
      <c r="B116" s="44">
        <v>0.58155422874785212</v>
      </c>
      <c r="C116" s="42">
        <f t="shared" si="45"/>
        <v>829.84336293928675</v>
      </c>
      <c r="D116" s="1">
        <f t="shared" ca="1" si="52"/>
        <v>62241488</v>
      </c>
      <c r="E116" s="4">
        <f t="shared" ca="1" si="46"/>
        <v>6857024.7431983156</v>
      </c>
      <c r="F116" s="41">
        <f t="shared" ca="1" si="47"/>
        <v>978.45672705455422</v>
      </c>
      <c r="G116" s="1">
        <v>0.32</v>
      </c>
      <c r="H116" s="42">
        <v>0</v>
      </c>
      <c r="I116" s="1">
        <v>0</v>
      </c>
      <c r="J116" s="1">
        <v>0</v>
      </c>
      <c r="K116" s="4">
        <f t="shared" ca="1" si="1"/>
        <v>1808.3000899938411</v>
      </c>
      <c r="L116" s="1">
        <v>0.15</v>
      </c>
      <c r="M116" s="4">
        <f t="shared" ca="1" si="48"/>
        <v>1808.3000899938411</v>
      </c>
      <c r="N116" s="4"/>
      <c r="O116" s="4">
        <f t="shared" ca="1" si="49"/>
        <v>1.81</v>
      </c>
      <c r="P116" s="1">
        <f t="shared" si="50"/>
        <v>0</v>
      </c>
      <c r="Q116" s="4">
        <f t="shared" ca="1" si="51"/>
        <v>2079.5451034929174</v>
      </c>
    </row>
    <row r="117" spans="1:17" ht="18" customHeight="1">
      <c r="A117" s="1" t="s">
        <v>390</v>
      </c>
      <c r="B117" s="44">
        <v>0.54434772832097611</v>
      </c>
      <c r="C117" s="42">
        <f t="shared" si="45"/>
        <v>776.75189543518275</v>
      </c>
      <c r="D117" s="1">
        <f t="shared" ca="1" si="52"/>
        <v>29691305</v>
      </c>
      <c r="E117" s="4">
        <f t="shared" ca="1" si="46"/>
        <v>3271033.8326559267</v>
      </c>
      <c r="F117" s="41">
        <f t="shared" ca="1" si="47"/>
        <v>466.75711082419048</v>
      </c>
      <c r="G117" s="1">
        <v>0.28999999999999998</v>
      </c>
      <c r="H117" s="42">
        <v>0</v>
      </c>
      <c r="I117" s="1">
        <v>0</v>
      </c>
      <c r="J117" s="1">
        <v>0</v>
      </c>
      <c r="K117" s="4">
        <f t="shared" ca="1" si="1"/>
        <v>1243.5090062593731</v>
      </c>
      <c r="L117" s="1">
        <v>0.15</v>
      </c>
      <c r="M117" s="4">
        <f t="shared" ca="1" si="48"/>
        <v>1243.5090062593731</v>
      </c>
      <c r="N117" s="4"/>
      <c r="O117" s="4">
        <f t="shared" ca="1" si="49"/>
        <v>1.24</v>
      </c>
      <c r="P117" s="1">
        <f t="shared" si="50"/>
        <v>0</v>
      </c>
      <c r="Q117" s="4">
        <f t="shared" ca="1" si="51"/>
        <v>1430.0353571982791</v>
      </c>
    </row>
    <row r="118" spans="1:17" ht="18" customHeight="1">
      <c r="A118" s="1" t="s">
        <v>391</v>
      </c>
      <c r="B118" s="44">
        <v>6.9350205405650345E-2</v>
      </c>
      <c r="C118" s="42">
        <f t="shared" si="45"/>
        <v>98.958626435003353</v>
      </c>
      <c r="D118" s="1">
        <f t="shared" ca="1" si="52"/>
        <v>47666461</v>
      </c>
      <c r="E118" s="4">
        <f t="shared" ca="1" si="46"/>
        <v>5251322.116490813</v>
      </c>
      <c r="F118" s="41">
        <f t="shared" ca="1" si="47"/>
        <v>749.33249379149731</v>
      </c>
      <c r="G118" s="1">
        <v>0.44</v>
      </c>
      <c r="H118" s="42">
        <v>0</v>
      </c>
      <c r="I118" s="1">
        <v>0</v>
      </c>
      <c r="J118" s="1">
        <v>0</v>
      </c>
      <c r="K118" s="4">
        <f t="shared" ca="1" si="1"/>
        <v>848.29112022650065</v>
      </c>
      <c r="L118" s="1">
        <v>0.24</v>
      </c>
      <c r="M118" s="4">
        <f t="shared" ca="1" si="48"/>
        <v>848.29112022650065</v>
      </c>
      <c r="N118" s="4"/>
      <c r="O118" s="4">
        <f t="shared" ca="1" si="49"/>
        <v>0.85</v>
      </c>
      <c r="P118" s="1">
        <f t="shared" si="50"/>
        <v>0</v>
      </c>
      <c r="Q118" s="4">
        <f t="shared" ca="1" si="51"/>
        <v>1051.8809890808609</v>
      </c>
    </row>
    <row r="119" spans="1:17" ht="18" customHeight="1">
      <c r="A119" s="1" t="s">
        <v>392</v>
      </c>
      <c r="B119" s="44">
        <v>0.39378035114165022</v>
      </c>
      <c r="C119" s="42">
        <f t="shared" si="45"/>
        <v>561.90118598979768</v>
      </c>
      <c r="D119" s="1">
        <f t="shared" ca="1" si="52"/>
        <v>65181272</v>
      </c>
      <c r="E119" s="4">
        <f t="shared" ca="1" si="46"/>
        <v>7180895.0791333839</v>
      </c>
      <c r="F119" s="41">
        <f t="shared" ca="1" si="47"/>
        <v>1024.6711014745126</v>
      </c>
      <c r="G119" s="1">
        <v>0.4</v>
      </c>
      <c r="H119" s="42">
        <v>0</v>
      </c>
      <c r="I119" s="1">
        <v>0</v>
      </c>
      <c r="J119" s="1">
        <v>0</v>
      </c>
      <c r="K119" s="4">
        <f t="shared" ca="1" si="1"/>
        <v>1586.5722874643102</v>
      </c>
      <c r="L119" s="1">
        <v>0.24</v>
      </c>
      <c r="M119" s="4">
        <f t="shared" ca="1" si="48"/>
        <v>1586.5722874643102</v>
      </c>
      <c r="N119" s="4"/>
      <c r="O119" s="4">
        <f t="shared" ca="1" si="49"/>
        <v>1.59</v>
      </c>
      <c r="P119" s="1">
        <f t="shared" si="50"/>
        <v>0</v>
      </c>
      <c r="Q119" s="4">
        <f t="shared" ca="1" si="51"/>
        <v>1967.3496364557445</v>
      </c>
    </row>
    <row r="120" spans="1:17" ht="18" customHeight="1">
      <c r="A120" s="1" t="s">
        <v>393</v>
      </c>
      <c r="B120" s="44">
        <v>0.52700920490493197</v>
      </c>
      <c r="C120" s="42">
        <f t="shared" si="45"/>
        <v>752.01085174790524</v>
      </c>
      <c r="D120" s="1">
        <f t="shared" ca="1" si="52"/>
        <v>38454091</v>
      </c>
      <c r="E120" s="4">
        <f t="shared" ca="1" si="46"/>
        <v>4236413.0732896309</v>
      </c>
      <c r="F120" s="41">
        <f t="shared" ca="1" si="47"/>
        <v>604.51099790091769</v>
      </c>
      <c r="G120" s="1">
        <v>0.44</v>
      </c>
      <c r="H120" s="42">
        <v>0</v>
      </c>
      <c r="I120" s="1">
        <v>0</v>
      </c>
      <c r="J120" s="1">
        <v>0</v>
      </c>
      <c r="K120" s="4">
        <f t="shared" ca="1" si="1"/>
        <v>1356.5218496488228</v>
      </c>
      <c r="L120" s="1">
        <v>0.22</v>
      </c>
      <c r="M120" s="4">
        <f t="shared" ca="1" si="48"/>
        <v>1356.5218496488228</v>
      </c>
      <c r="N120" s="4"/>
      <c r="O120" s="4">
        <f t="shared" ca="1" si="49"/>
        <v>1.36</v>
      </c>
      <c r="P120" s="1">
        <f t="shared" si="50"/>
        <v>0</v>
      </c>
      <c r="Q120" s="4">
        <f t="shared" ca="1" si="51"/>
        <v>1654.9566565715638</v>
      </c>
    </row>
    <row r="121" spans="1:17" ht="18" customHeight="1">
      <c r="A121" s="1" t="s">
        <v>394</v>
      </c>
      <c r="B121" s="44">
        <v>0.16260190867769661</v>
      </c>
      <c r="C121" s="42">
        <f t="shared" si="45"/>
        <v>232.02327151497803</v>
      </c>
      <c r="D121" s="1">
        <f t="shared" ca="1" si="52"/>
        <v>43827820</v>
      </c>
      <c r="E121" s="4">
        <f t="shared" ca="1" si="46"/>
        <v>4828426.4376912387</v>
      </c>
      <c r="F121" s="41">
        <f t="shared" ca="1" si="47"/>
        <v>688.98779076644394</v>
      </c>
      <c r="G121" s="1">
        <v>0.4</v>
      </c>
      <c r="H121" s="42">
        <v>0</v>
      </c>
      <c r="I121" s="1">
        <v>0</v>
      </c>
      <c r="J121" s="1">
        <v>0</v>
      </c>
      <c r="K121" s="4">
        <f t="shared" ca="1" si="1"/>
        <v>921.01106228142203</v>
      </c>
      <c r="L121" s="1">
        <v>0.15</v>
      </c>
      <c r="M121" s="4">
        <f t="shared" ca="1" si="48"/>
        <v>921.01106228142203</v>
      </c>
      <c r="N121" s="4"/>
      <c r="O121" s="4">
        <f t="shared" ca="1" si="49"/>
        <v>0.92</v>
      </c>
      <c r="P121" s="1">
        <f t="shared" si="50"/>
        <v>0</v>
      </c>
      <c r="Q121" s="4">
        <f t="shared" ca="1" si="51"/>
        <v>1059.1627216236352</v>
      </c>
    </row>
    <row r="122" spans="1:17" ht="18" customHeight="1">
      <c r="A122" s="1" t="s">
        <v>395</v>
      </c>
      <c r="B122" s="44">
        <v>0.28102853279852091</v>
      </c>
      <c r="C122" s="42">
        <f t="shared" si="45"/>
        <v>401.01103424446472</v>
      </c>
      <c r="D122" s="1">
        <f t="shared" ca="1" si="52"/>
        <v>40030201</v>
      </c>
      <c r="E122" s="4">
        <f t="shared" ca="1" si="46"/>
        <v>4410050.0735490443</v>
      </c>
      <c r="F122" s="41">
        <f t="shared" ca="1" si="47"/>
        <v>629.2879671160166</v>
      </c>
      <c r="G122" s="1">
        <v>0.43</v>
      </c>
      <c r="H122" s="42">
        <v>0</v>
      </c>
      <c r="I122" s="1">
        <v>0</v>
      </c>
      <c r="J122" s="1">
        <v>0</v>
      </c>
      <c r="K122" s="4">
        <f t="shared" ca="1" si="1"/>
        <v>1030.2990013604813</v>
      </c>
      <c r="L122" s="1">
        <v>0.16</v>
      </c>
      <c r="M122" s="4">
        <f t="shared" ca="1" si="48"/>
        <v>1030.2990013604813</v>
      </c>
      <c r="N122" s="4"/>
      <c r="O122" s="4">
        <f t="shared" ca="1" si="49"/>
        <v>1.03</v>
      </c>
      <c r="P122" s="1">
        <f t="shared" si="50"/>
        <v>0</v>
      </c>
      <c r="Q122" s="4">
        <f t="shared" ca="1" si="51"/>
        <v>1195.1468415781583</v>
      </c>
    </row>
    <row r="123" spans="1:17" ht="18" customHeight="1">
      <c r="A123" s="1" t="s">
        <v>396</v>
      </c>
      <c r="B123" s="44">
        <v>0.36279031350825686</v>
      </c>
      <c r="C123" s="42">
        <f t="shared" si="45"/>
        <v>517.68024187822039</v>
      </c>
      <c r="D123" s="1">
        <f t="shared" ca="1" si="52"/>
        <v>45665660</v>
      </c>
      <c r="E123" s="4">
        <f t="shared" ca="1" si="46"/>
        <v>5030897.7274849471</v>
      </c>
      <c r="F123" s="41">
        <f t="shared" ca="1" si="47"/>
        <v>717.87924193563742</v>
      </c>
      <c r="G123" s="1">
        <v>0.39</v>
      </c>
      <c r="H123" s="42">
        <v>0</v>
      </c>
      <c r="I123" s="1">
        <v>0</v>
      </c>
      <c r="J123" s="1">
        <v>0</v>
      </c>
      <c r="K123" s="4">
        <f t="shared" ca="1" si="1"/>
        <v>1235.5594838138577</v>
      </c>
      <c r="L123" s="1">
        <v>0.18</v>
      </c>
      <c r="M123" s="4">
        <f t="shared" ca="1" si="48"/>
        <v>1235.5594838138577</v>
      </c>
      <c r="N123" s="4"/>
      <c r="O123" s="4">
        <f t="shared" ca="1" si="49"/>
        <v>1.24</v>
      </c>
      <c r="P123" s="1">
        <f t="shared" si="50"/>
        <v>0</v>
      </c>
      <c r="Q123" s="4">
        <f t="shared" ca="1" si="51"/>
        <v>1457.960190900352</v>
      </c>
    </row>
    <row r="124" spans="1:17" ht="18" customHeight="1">
      <c r="A124" s="1" t="s">
        <v>397</v>
      </c>
      <c r="B124" s="44">
        <v>0.31738316695915803</v>
      </c>
      <c r="C124" s="42">
        <f t="shared" si="45"/>
        <v>452.88693915404968</v>
      </c>
      <c r="D124" s="1">
        <f t="shared" ca="1" si="52"/>
        <v>20106932</v>
      </c>
      <c r="E124" s="4">
        <f t="shared" ca="1" si="46"/>
        <v>2215141.9360958403</v>
      </c>
      <c r="F124" s="41">
        <f t="shared" ca="1" si="47"/>
        <v>316.08760503650689</v>
      </c>
      <c r="G124" s="1">
        <v>0.44</v>
      </c>
      <c r="H124" s="42">
        <v>0</v>
      </c>
      <c r="I124" s="1">
        <v>0</v>
      </c>
      <c r="J124" s="1">
        <v>0</v>
      </c>
      <c r="K124" s="4">
        <f t="shared" ca="1" si="1"/>
        <v>768.97454419055657</v>
      </c>
      <c r="L124" s="1">
        <v>0.23</v>
      </c>
      <c r="M124" s="4">
        <f t="shared" ca="1" si="48"/>
        <v>768.97454419055657</v>
      </c>
      <c r="N124" s="4"/>
      <c r="O124" s="4">
        <f t="shared" ca="1" si="49"/>
        <v>0.77</v>
      </c>
      <c r="P124" s="1">
        <f t="shared" si="50"/>
        <v>0</v>
      </c>
      <c r="Q124" s="4">
        <f t="shared" ca="1" si="51"/>
        <v>945.83868935438454</v>
      </c>
    </row>
    <row r="125" spans="1:17" ht="18" customHeight="1">
      <c r="A125" s="1" t="s">
        <v>398</v>
      </c>
      <c r="B125" s="44">
        <v>0.15481951589077206</v>
      </c>
      <c r="C125" s="42">
        <f t="shared" si="45"/>
        <v>220.91825897655829</v>
      </c>
      <c r="D125" s="1">
        <f t="shared" ca="1" si="52"/>
        <v>25598152</v>
      </c>
      <c r="E125" s="4">
        <f t="shared" ca="1" si="46"/>
        <v>2820099.0574671263</v>
      </c>
      <c r="F125" s="41">
        <f t="shared" ca="1" si="47"/>
        <v>402.41139518651914</v>
      </c>
      <c r="G125" s="1">
        <v>0.37</v>
      </c>
      <c r="H125" s="42">
        <v>0</v>
      </c>
      <c r="I125" s="1">
        <v>0</v>
      </c>
      <c r="J125" s="1">
        <v>0</v>
      </c>
      <c r="K125" s="4">
        <f t="shared" ca="1" si="1"/>
        <v>623.32965416307741</v>
      </c>
      <c r="L125" s="1">
        <v>0.21</v>
      </c>
      <c r="M125" s="4">
        <f t="shared" ca="1" si="48"/>
        <v>623.32965416307741</v>
      </c>
      <c r="N125" s="4"/>
      <c r="O125" s="4">
        <f t="shared" ca="1" si="49"/>
        <v>0.62</v>
      </c>
      <c r="P125" s="1">
        <f t="shared" si="50"/>
        <v>0</v>
      </c>
      <c r="Q125" s="4">
        <f t="shared" ca="1" si="51"/>
        <v>754.22888153732367</v>
      </c>
    </row>
    <row r="126" spans="1:17" ht="18" customHeight="1">
      <c r="A126" s="1" t="s">
        <v>399</v>
      </c>
      <c r="B126" s="44">
        <v>6.2103228410972808E-2</v>
      </c>
      <c r="C126" s="42">
        <f t="shared" si="45"/>
        <v>88.6176204494475</v>
      </c>
      <c r="D126" s="1">
        <f t="shared" ca="1" si="52"/>
        <v>25672332</v>
      </c>
      <c r="E126" s="4">
        <f t="shared" ca="1" si="46"/>
        <v>2828271.3250621823</v>
      </c>
      <c r="F126" s="41">
        <f t="shared" ca="1" si="47"/>
        <v>403.57752926115614</v>
      </c>
      <c r="G126" s="1">
        <v>0.39</v>
      </c>
      <c r="H126" s="42">
        <v>0</v>
      </c>
      <c r="I126" s="1">
        <v>0</v>
      </c>
      <c r="J126" s="1">
        <v>0</v>
      </c>
      <c r="K126" s="4">
        <f t="shared" ca="1" si="1"/>
        <v>492.19514971060363</v>
      </c>
      <c r="L126" s="1">
        <v>0.12</v>
      </c>
      <c r="M126" s="4">
        <f t="shared" ca="1" si="48"/>
        <v>492.19514971060363</v>
      </c>
      <c r="N126" s="4"/>
      <c r="O126" s="4">
        <f t="shared" ca="1" si="49"/>
        <v>0.49</v>
      </c>
      <c r="P126" s="1">
        <f t="shared" si="50"/>
        <v>0</v>
      </c>
      <c r="Q126" s="4">
        <f t="shared" ca="1" si="51"/>
        <v>551.25856767587607</v>
      </c>
    </row>
    <row r="127" spans="1:17" ht="18" customHeight="1">
      <c r="A127" s="1" t="s">
        <v>400</v>
      </c>
      <c r="B127" s="44">
        <v>0.52053654237114899</v>
      </c>
      <c r="C127" s="42">
        <f t="shared" si="45"/>
        <v>742.7747465341738</v>
      </c>
      <c r="D127" s="1">
        <f t="shared" ca="1" si="52"/>
        <v>37397923</v>
      </c>
      <c r="E127" s="4">
        <f t="shared" ca="1" si="46"/>
        <v>4120057.0808208408</v>
      </c>
      <c r="F127" s="41">
        <f t="shared" ca="1" si="47"/>
        <v>587.90768847329355</v>
      </c>
      <c r="G127" s="1">
        <v>0.3</v>
      </c>
      <c r="H127" s="42">
        <v>0</v>
      </c>
      <c r="I127" s="1">
        <v>0</v>
      </c>
      <c r="J127" s="1">
        <v>0</v>
      </c>
      <c r="K127" s="4">
        <f t="shared" ca="1" si="1"/>
        <v>1330.6824350074673</v>
      </c>
      <c r="L127" s="1">
        <v>0.12</v>
      </c>
      <c r="M127" s="4">
        <f t="shared" ca="1" si="48"/>
        <v>1330.6824350074673</v>
      </c>
      <c r="N127" s="4"/>
      <c r="O127" s="4">
        <f t="shared" ca="1" si="49"/>
        <v>1.33</v>
      </c>
      <c r="P127" s="1">
        <f t="shared" si="50"/>
        <v>0</v>
      </c>
      <c r="Q127" s="4">
        <f t="shared" ca="1" si="51"/>
        <v>1490.3643272083634</v>
      </c>
    </row>
    <row r="128" spans="1:17" ht="18" customHeight="1">
      <c r="A128" s="1" t="s">
        <v>401</v>
      </c>
      <c r="B128" s="44">
        <v>0.67767875173950354</v>
      </c>
      <c r="C128" s="42">
        <f t="shared" si="45"/>
        <v>967.00735122646051</v>
      </c>
      <c r="D128" s="1">
        <f t="shared" ca="1" si="52"/>
        <v>78881249</v>
      </c>
      <c r="E128" s="4">
        <f t="shared" ca="1" si="46"/>
        <v>8690195.1342710089</v>
      </c>
      <c r="F128" s="41">
        <f t="shared" ca="1" si="47"/>
        <v>1240.0392600272558</v>
      </c>
      <c r="G128" s="1">
        <v>0.4</v>
      </c>
      <c r="H128" s="42">
        <v>0</v>
      </c>
      <c r="I128" s="1">
        <v>0</v>
      </c>
      <c r="J128" s="1">
        <v>0</v>
      </c>
      <c r="K128" s="4">
        <f t="shared" ca="1" si="1"/>
        <v>2207.046611253716</v>
      </c>
      <c r="L128" s="1">
        <v>0.23</v>
      </c>
      <c r="M128" s="4">
        <f t="shared" ca="1" si="48"/>
        <v>2207.046611253716</v>
      </c>
      <c r="N128" s="4"/>
      <c r="O128" s="4">
        <f t="shared" ca="1" si="49"/>
        <v>2.21</v>
      </c>
      <c r="P128" s="1">
        <f t="shared" si="50"/>
        <v>0</v>
      </c>
      <c r="Q128" s="4">
        <f t="shared" ca="1" si="51"/>
        <v>2714.6673318420708</v>
      </c>
    </row>
    <row r="129" spans="1:17" ht="18" customHeight="1">
      <c r="A129" s="1" t="s">
        <v>402</v>
      </c>
      <c r="B129" s="44">
        <v>0.43069206670119081</v>
      </c>
      <c r="C129" s="42">
        <f t="shared" si="45"/>
        <v>614.57201298685902</v>
      </c>
      <c r="D129" s="1">
        <f t="shared" ca="1" si="52"/>
        <v>70448677</v>
      </c>
      <c r="E129" s="4">
        <f t="shared" ca="1" si="46"/>
        <v>7761194.9334274605</v>
      </c>
      <c r="F129" s="41">
        <f t="shared" ca="1" si="47"/>
        <v>1107.4764459799458</v>
      </c>
      <c r="G129" s="1">
        <v>0.28999999999999998</v>
      </c>
      <c r="H129" s="42">
        <v>0</v>
      </c>
      <c r="I129" s="1">
        <v>0</v>
      </c>
      <c r="J129" s="1">
        <v>0</v>
      </c>
      <c r="K129" s="4">
        <f t="shared" ca="1" si="1"/>
        <v>1722.0484589668049</v>
      </c>
      <c r="L129" s="1">
        <v>0.24</v>
      </c>
      <c r="M129" s="4">
        <f t="shared" ca="1" si="48"/>
        <v>1722.0484589668049</v>
      </c>
      <c r="N129" s="4"/>
      <c r="O129" s="4">
        <f t="shared" ca="1" si="49"/>
        <v>1.72</v>
      </c>
      <c r="P129" s="1">
        <f t="shared" si="50"/>
        <v>0</v>
      </c>
      <c r="Q129" s="4">
        <f t="shared" ca="1" si="51"/>
        <v>2135.340089118838</v>
      </c>
    </row>
    <row r="130" spans="1:17" ht="18" customHeight="1"/>
    <row r="131" spans="1:17" ht="18" customHeight="1">
      <c r="A131" s="46" t="s">
        <v>403</v>
      </c>
      <c r="B131" s="44">
        <v>0.65</v>
      </c>
      <c r="C131" s="42">
        <f t="shared" si="45"/>
        <v>927.5114155251141</v>
      </c>
      <c r="D131" s="46">
        <f>6.1*10^7</f>
        <v>61000000</v>
      </c>
      <c r="E131" s="4">
        <f>D131*$B$4</f>
        <v>6720252.4035912715</v>
      </c>
      <c r="F131" s="41">
        <f t="shared" si="47"/>
        <v>958.94012608322942</v>
      </c>
      <c r="G131">
        <v>6.5000000000000002E-2</v>
      </c>
      <c r="H131" s="39">
        <v>4030</v>
      </c>
      <c r="K131" s="4">
        <f t="shared" si="1"/>
        <v>5916.4515416083432</v>
      </c>
      <c r="M131" s="4">
        <f t="shared" si="48"/>
        <v>1886.4515416083436</v>
      </c>
      <c r="N131" s="4"/>
    </row>
    <row r="132" spans="1:17" ht="18" customHeight="1"/>
    <row r="133" spans="1:17" ht="18" customHeight="1"/>
    <row r="134" spans="1:17" ht="18" customHeight="1"/>
    <row r="135" spans="1:17" ht="18" customHeight="1"/>
    <row r="136" spans="1:17" ht="18" customHeight="1"/>
    <row r="137" spans="1:17" ht="18" customHeight="1"/>
    <row r="138" spans="1:17" ht="18" customHeight="1"/>
    <row r="139" spans="1:17" ht="18" customHeight="1"/>
    <row r="140" spans="1:17" ht="18" customHeight="1"/>
    <row r="141" spans="1:17" ht="18" customHeight="1"/>
    <row r="142" spans="1:17" ht="18" customHeight="1"/>
    <row r="143" spans="1:17" ht="18" customHeight="1"/>
    <row r="144" spans="1:17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F115"/>
  <sheetViews>
    <sheetView workbookViewId="0">
      <selection activeCell="D7" sqref="D7"/>
    </sheetView>
  </sheetViews>
  <sheetFormatPr defaultColWidth="10.08203125" defaultRowHeight="15" customHeight="1"/>
  <cols>
    <col min="1" max="1" width="10.08203125" customWidth="1"/>
    <col min="2" max="2" width="15.6640625" customWidth="1"/>
    <col min="3" max="3" width="12.83203125" customWidth="1"/>
    <col min="4" max="4" width="20.33203125" customWidth="1"/>
    <col min="5" max="26" width="10.08203125" customWidth="1"/>
  </cols>
  <sheetData>
    <row r="4" spans="2:6">
      <c r="B4" s="3" t="s">
        <v>2</v>
      </c>
      <c r="C4" s="3" t="s">
        <v>7</v>
      </c>
      <c r="D4" s="3" t="s">
        <v>11</v>
      </c>
      <c r="E4" s="5" t="s">
        <v>14</v>
      </c>
    </row>
    <row r="5" spans="2:6">
      <c r="B5" s="1" t="str">
        <f>'Fixed cost calculation'!A8</f>
        <v>Coal_1</v>
      </c>
      <c r="C5" s="8">
        <f>'Fixed cost calculation'!K8</f>
        <v>3309.715482621622</v>
      </c>
      <c r="D5" s="8">
        <f>'Fixed cost calculation'!Q8</f>
        <v>3806.1728050148654</v>
      </c>
      <c r="E5" s="5" t="s">
        <v>24</v>
      </c>
      <c r="F5" s="5" t="s">
        <v>25</v>
      </c>
    </row>
    <row r="6" spans="2:6">
      <c r="B6" s="1" t="str">
        <f>'Fixed cost calculation'!A9</f>
        <v>Coal_2 (lignite)</v>
      </c>
      <c r="C6" s="8">
        <f>'Fixed cost calculation'!K9</f>
        <v>3659.9795621246521</v>
      </c>
      <c r="D6" s="8">
        <f>'Fixed cost calculation'!Q9</f>
        <v>4062.5773139583639</v>
      </c>
      <c r="E6" s="5" t="s">
        <v>37</v>
      </c>
    </row>
    <row r="7" spans="2:6">
      <c r="B7" s="1" t="str">
        <f>'Fixed cost calculation'!A10</f>
        <v>Coal_3 (lignite)</v>
      </c>
      <c r="C7" s="8">
        <f>'Fixed cost calculation'!K10</f>
        <v>3983.1555548261085</v>
      </c>
      <c r="D7" s="8">
        <f>'Fixed cost calculation'!Q10</f>
        <v>4461.134221405242</v>
      </c>
      <c r="E7" s="5" t="s">
        <v>51</v>
      </c>
    </row>
    <row r="8" spans="2:6">
      <c r="B8" s="1" t="str">
        <f>'Fixed cost calculation'!A11</f>
        <v>Coal_4 (imported)</v>
      </c>
      <c r="C8" s="8">
        <f>'Fixed cost calculation'!K11</f>
        <v>3686.9210602002058</v>
      </c>
      <c r="D8" s="8">
        <f>'Fixed cost calculation'!Q11</f>
        <v>4239.9592192302371</v>
      </c>
      <c r="E8" s="5" t="s">
        <v>57</v>
      </c>
    </row>
    <row r="9" spans="2:6">
      <c r="B9" s="1" t="str">
        <f>'Fixed cost calculation'!A12</f>
        <v>Coal_5</v>
      </c>
      <c r="C9" s="8">
        <f>'Fixed cost calculation'!K12</f>
        <v>3709.0436584710415</v>
      </c>
      <c r="D9" s="8">
        <f>'Fixed cost calculation'!Q12</f>
        <v>4191.219334072277</v>
      </c>
      <c r="E9" s="5" t="s">
        <v>62</v>
      </c>
    </row>
    <row r="10" spans="2:6">
      <c r="B10" s="1" t="str">
        <f>'Fixed cost calculation'!A13</f>
        <v>Coal_6</v>
      </c>
      <c r="C10" s="8">
        <f>'Fixed cost calculation'!K13</f>
        <v>3577.0891783804441</v>
      </c>
      <c r="D10" s="8">
        <f>'Fixed cost calculation'!Q13</f>
        <v>4006.3398797860973</v>
      </c>
      <c r="E10" s="5" t="s">
        <v>64</v>
      </c>
    </row>
    <row r="11" spans="2:6">
      <c r="B11" s="1" t="str">
        <f>'Fixed cost calculation'!A14</f>
        <v>Coal_7</v>
      </c>
      <c r="C11" s="8">
        <f>'Fixed cost calculation'!K14</f>
        <v>3285.469542344671</v>
      </c>
      <c r="D11" s="8">
        <f>'Fixed cost calculation'!Q14</f>
        <v>3712.5805828494781</v>
      </c>
      <c r="E11" s="5" t="s">
        <v>65</v>
      </c>
    </row>
    <row r="12" spans="2:6">
      <c r="B12" s="1" t="str">
        <f>'Fixed cost calculation'!A15</f>
        <v>Coal_8</v>
      </c>
      <c r="C12" s="8">
        <f>'Fixed cost calculation'!K15</f>
        <v>3332.7309731013347</v>
      </c>
      <c r="D12" s="8">
        <f>'Fixed cost calculation'!Q15</f>
        <v>3765.9859996045084</v>
      </c>
      <c r="E12" s="5" t="s">
        <v>66</v>
      </c>
    </row>
    <row r="13" spans="2:6">
      <c r="B13" s="1" t="str">
        <f>'Fixed cost calculation'!A16</f>
        <v>Coal_9</v>
      </c>
      <c r="C13" s="8">
        <f>'Fixed cost calculation'!K16</f>
        <v>3291.8880113693444</v>
      </c>
      <c r="D13" s="8">
        <f>'Fixed cost calculation'!Q16</f>
        <v>3719.8334528473592</v>
      </c>
      <c r="E13" s="5" t="s">
        <v>67</v>
      </c>
    </row>
    <row r="14" spans="2:6">
      <c r="B14" s="1" t="str">
        <f>'Fixed cost calculation'!A17</f>
        <v>Coal_10</v>
      </c>
      <c r="C14" s="8">
        <f>'Fixed cost calculation'!K17</f>
        <v>3333.295115841373</v>
      </c>
      <c r="D14" s="8">
        <f>'Fixed cost calculation'!Q17</f>
        <v>3799.9564320591653</v>
      </c>
      <c r="E14" s="5" t="s">
        <v>68</v>
      </c>
    </row>
    <row r="15" spans="2:6">
      <c r="B15" s="1" t="str">
        <f>'Fixed cost calculation'!A18</f>
        <v>Coal_11</v>
      </c>
      <c r="C15" s="8">
        <f>'Fixed cost calculation'!K18</f>
        <v>3439.251840815622</v>
      </c>
      <c r="D15" s="8">
        <f>'Fixed cost calculation'!Q18</f>
        <v>3886.3545801216528</v>
      </c>
      <c r="E15" s="5" t="s">
        <v>69</v>
      </c>
    </row>
    <row r="16" spans="2:6">
      <c r="B16" s="1" t="str">
        <f>'Fixed cost calculation'!A19</f>
        <v>Coal_12</v>
      </c>
      <c r="C16" s="8">
        <f>'Fixed cost calculation'!K19</f>
        <v>3385.8653351393959</v>
      </c>
      <c r="D16" s="8">
        <f>'Fixed cost calculation'!Q19</f>
        <v>3724.4518686533356</v>
      </c>
      <c r="E16" s="5" t="s">
        <v>71</v>
      </c>
    </row>
    <row r="17" spans="2:5">
      <c r="B17" s="1" t="str">
        <f>'Fixed cost calculation'!A20</f>
        <v>Coal_13</v>
      </c>
      <c r="C17" s="8">
        <f>'Fixed cost calculation'!K20</f>
        <v>3400.1062373567165</v>
      </c>
      <c r="D17" s="8">
        <f>'Fixed cost calculation'!Q20</f>
        <v>3774.1179234659553</v>
      </c>
      <c r="E17" s="5" t="s">
        <v>72</v>
      </c>
    </row>
    <row r="18" spans="2:5">
      <c r="B18" s="1" t="str">
        <f>'Fixed cost calculation'!A21</f>
        <v>Coal_14</v>
      </c>
      <c r="C18" s="8">
        <f>'Fixed cost calculation'!K21</f>
        <v>3457.1921860181619</v>
      </c>
      <c r="D18" s="8">
        <f>'Fixed cost calculation'!Q21</f>
        <v>3906.6271702005229</v>
      </c>
      <c r="E18" s="5" t="s">
        <v>74</v>
      </c>
    </row>
    <row r="19" spans="2:5">
      <c r="B19" s="1" t="str">
        <f>'Fixed cost calculation'!A22</f>
        <v>Coal_15</v>
      </c>
      <c r="C19" s="8">
        <f>'Fixed cost calculation'!K22</f>
        <v>3673.1544438395367</v>
      </c>
      <c r="D19" s="8">
        <f>'Fixed cost calculation'!Q22</f>
        <v>4150.6645215386761</v>
      </c>
      <c r="E19" s="5" t="s">
        <v>75</v>
      </c>
    </row>
    <row r="20" spans="2:5">
      <c r="B20" s="1" t="str">
        <f>'Fixed cost calculation'!A25</f>
        <v>CCGTurbine_1</v>
      </c>
      <c r="C20" s="8">
        <f>'Fixed cost calculation'!K25</f>
        <v>8305.9258118580256</v>
      </c>
      <c r="D20" s="8">
        <f>'Fixed cost calculation'!Q25</f>
        <v>8721.2221024509272</v>
      </c>
      <c r="E20" s="5" t="s">
        <v>77</v>
      </c>
    </row>
    <row r="21" spans="2:5">
      <c r="B21" s="1" t="str">
        <f>'Fixed cost calculation'!A26</f>
        <v>Gas Turbine_2</v>
      </c>
      <c r="C21" s="8">
        <f>'Fixed cost calculation'!K26</f>
        <v>13406.28</v>
      </c>
      <c r="D21" s="8">
        <f>'Fixed cost calculation'!Q26</f>
        <v>14076.594000000001</v>
      </c>
      <c r="E21" s="5" t="s">
        <v>78</v>
      </c>
    </row>
    <row r="22" spans="2:5">
      <c r="B22" s="1" t="str">
        <f>'Fixed cost calculation'!A27</f>
        <v>Gas Turbine_3</v>
      </c>
      <c r="C22" s="8">
        <f>'Fixed cost calculation'!K27</f>
        <v>13617.644063926942</v>
      </c>
      <c r="D22" s="8">
        <f>'Fixed cost calculation'!Q27</f>
        <v>14298.526267123289</v>
      </c>
      <c r="E22" s="5" t="s">
        <v>80</v>
      </c>
    </row>
    <row r="23" spans="2:5">
      <c r="B23" s="1" t="str">
        <f>'Fixed cost calculation'!A28</f>
        <v>Gas Turbine_4</v>
      </c>
      <c r="C23" s="8">
        <f>'Fixed cost calculation'!K28</f>
        <v>10759.89</v>
      </c>
      <c r="D23" s="8">
        <f>'Fixed cost calculation'!Q28</f>
        <v>11297.8845</v>
      </c>
      <c r="E23" s="5" t="s">
        <v>81</v>
      </c>
    </row>
    <row r="24" spans="2:5">
      <c r="B24" s="1" t="str">
        <f>'Fixed cost calculation'!A29</f>
        <v>Gas Turbine_5</v>
      </c>
      <c r="C24" s="8">
        <f>'Fixed cost calculation'!K29</f>
        <v>14489.14</v>
      </c>
      <c r="D24" s="8">
        <f>'Fixed cost calculation'!Q29</f>
        <v>15213.597</v>
      </c>
      <c r="E24" s="5" t="s">
        <v>83</v>
      </c>
    </row>
    <row r="25" spans="2:5">
      <c r="B25" s="1" t="str">
        <f>'Fixed cost calculation'!A30</f>
        <v>Gas Turbine_6</v>
      </c>
      <c r="C25" s="8">
        <f>'Fixed cost calculation'!K30</f>
        <v>15034.374977168949</v>
      </c>
      <c r="D25" s="8">
        <f>'Fixed cost calculation'!Q30</f>
        <v>15786.093726027397</v>
      </c>
      <c r="E25" s="5" t="s">
        <v>85</v>
      </c>
    </row>
    <row r="26" spans="2:5">
      <c r="B26" s="1" t="str">
        <f>'Fixed cost calculation'!A31</f>
        <v>Gas Turbine_7</v>
      </c>
      <c r="C26" s="8">
        <f>'Fixed cost calculation'!K31</f>
        <v>10601.42</v>
      </c>
      <c r="D26" s="8">
        <f>'Fixed cost calculation'!Q31</f>
        <v>11131.491</v>
      </c>
      <c r="E26" s="5" t="s">
        <v>86</v>
      </c>
    </row>
    <row r="27" spans="2:5">
      <c r="B27" s="1" t="str">
        <f>'Fixed cost calculation'!A32</f>
        <v>Gas Turbine_8</v>
      </c>
      <c r="C27" s="8">
        <f>'Fixed cost calculation'!K32</f>
        <v>13858.518447488585</v>
      </c>
      <c r="D27" s="8">
        <f>'Fixed cost calculation'!Q32</f>
        <v>14551.444369863013</v>
      </c>
      <c r="E27" s="5" t="s">
        <v>88</v>
      </c>
    </row>
    <row r="28" spans="2:5">
      <c r="B28" s="1" t="str">
        <f>'Fixed cost calculation'!A33</f>
        <v>Gas Turbine_9</v>
      </c>
      <c r="C28" s="8">
        <f>'Fixed cost calculation'!K33</f>
        <v>15809.69</v>
      </c>
      <c r="D28" s="8">
        <f>'Fixed cost calculation'!Q33</f>
        <v>16600.174500000001</v>
      </c>
      <c r="E28" s="5" t="s">
        <v>89</v>
      </c>
    </row>
    <row r="29" spans="2:5">
      <c r="B29" s="1" t="str">
        <f>'Fixed cost calculation'!A34</f>
        <v>Gas Turbine_10</v>
      </c>
      <c r="C29" s="8">
        <f ca="1">'Fixed cost calculation'!K34</f>
        <v>10785.602942676103</v>
      </c>
      <c r="D29" s="8">
        <f ca="1">'Fixed cost calculation'!Q34</f>
        <v>11324.883089809908</v>
      </c>
      <c r="E29" s="5" t="s">
        <v>90</v>
      </c>
    </row>
    <row r="30" spans="2:5">
      <c r="B30" s="1" t="str">
        <f>'Fixed cost calculation'!A35</f>
        <v>Gas Turbine_11</v>
      </c>
      <c r="C30" s="8">
        <f ca="1">'Fixed cost calculation'!K35</f>
        <v>10793.008906293548</v>
      </c>
      <c r="D30" s="8">
        <f ca="1">'Fixed cost calculation'!Q35</f>
        <v>11332.659351608225</v>
      </c>
      <c r="E30" s="5" t="s">
        <v>92</v>
      </c>
    </row>
    <row r="31" spans="2:5">
      <c r="B31" s="1" t="str">
        <f>'Fixed cost calculation'!A36</f>
        <v>CCGTurbine_2</v>
      </c>
      <c r="C31" s="8">
        <f ca="1">'Fixed cost calculation'!K36</f>
        <v>8170.2830848009817</v>
      </c>
      <c r="D31" s="8">
        <f ca="1">'Fixed cost calculation'!Q36</f>
        <v>8578.7972390410305</v>
      </c>
      <c r="E31" s="5" t="s">
        <v>93</v>
      </c>
    </row>
    <row r="32" spans="2:5">
      <c r="B32" s="1" t="str">
        <f>'Fixed cost calculation'!A37</f>
        <v>CCGTurbine_3</v>
      </c>
      <c r="C32" s="8">
        <f>'Fixed cost calculation'!K37</f>
        <v>7519.3229367498398</v>
      </c>
      <c r="D32" s="8">
        <f>'Fixed cost calculation'!Q37</f>
        <v>7669.7093954848369</v>
      </c>
      <c r="E32" s="5" t="s">
        <v>95</v>
      </c>
    </row>
    <row r="33" spans="2:5">
      <c r="B33" s="1" t="str">
        <f>'Fixed cost calculation'!A38</f>
        <v>CCGTurbine_4</v>
      </c>
      <c r="C33" s="8">
        <f ca="1">'Fixed cost calculation'!K38</f>
        <v>8970.9071932693769</v>
      </c>
      <c r="D33" s="8">
        <f ca="1">'Fixed cost calculation'!Q38</f>
        <v>9419.4525529328457</v>
      </c>
      <c r="E33" s="5" t="s">
        <v>96</v>
      </c>
    </row>
    <row r="34" spans="2:5">
      <c r="B34" s="1" t="str">
        <f>'Fixed cost calculation'!A39</f>
        <v>CCGTurbine_5</v>
      </c>
      <c r="C34" s="8">
        <f ca="1">'Fixed cost calculation'!K39</f>
        <v>8257.7582206063362</v>
      </c>
      <c r="D34" s="8">
        <f ca="1">'Fixed cost calculation'!Q39</f>
        <v>8670.6461316366531</v>
      </c>
      <c r="E34" s="5" t="s">
        <v>98</v>
      </c>
    </row>
    <row r="35" spans="2:5">
      <c r="B35" s="1" t="str">
        <f>'Fixed cost calculation'!A40</f>
        <v>CCGTurbine_6</v>
      </c>
      <c r="C35" s="8">
        <f ca="1">'Fixed cost calculation'!K40</f>
        <v>8484.3358236943204</v>
      </c>
      <c r="D35" s="8">
        <f ca="1">'Fixed cost calculation'!Q40</f>
        <v>8908.5526148790359</v>
      </c>
      <c r="E35" s="5" t="s">
        <v>100</v>
      </c>
    </row>
    <row r="36" spans="2:5">
      <c r="B36" s="1" t="str">
        <f>'Fixed cost calculation'!A41</f>
        <v>CCGTurbine_8</v>
      </c>
      <c r="C36" s="8">
        <f ca="1">'Fixed cost calculation'!K41</f>
        <v>9081.0883641932614</v>
      </c>
      <c r="D36" s="8">
        <f ca="1">'Fixed cost calculation'!Q41</f>
        <v>9535.1427824029251</v>
      </c>
      <c r="E36" s="5" t="s">
        <v>101</v>
      </c>
    </row>
    <row r="37" spans="2:5">
      <c r="B37" s="1" t="str">
        <f>'Fixed cost calculation'!A42</f>
        <v>CCGTurbine_9</v>
      </c>
      <c r="C37" s="8">
        <f ca="1">'Fixed cost calculation'!K42</f>
        <v>9170.9988294014674</v>
      </c>
      <c r="D37" s="8">
        <f ca="1">'Fixed cost calculation'!Q42</f>
        <v>9629.5487708715409</v>
      </c>
      <c r="E37" s="5" t="s">
        <v>103</v>
      </c>
    </row>
    <row r="38" spans="2:5">
      <c r="B38" s="1" t="str">
        <f>'Fixed cost calculation'!A43</f>
        <v>CCGTurbine_10</v>
      </c>
      <c r="C38" s="8">
        <f ca="1">'Fixed cost calculation'!K43</f>
        <v>8794.4706835693269</v>
      </c>
      <c r="D38" s="8">
        <f ca="1">'Fixed cost calculation'!Q43</f>
        <v>9234.194217747794</v>
      </c>
      <c r="E38" s="5" t="s">
        <v>105</v>
      </c>
    </row>
    <row r="39" spans="2:5">
      <c r="B39" s="1" t="str">
        <f>'Fixed cost calculation'!A44</f>
        <v>Gas Turbine_20</v>
      </c>
      <c r="C39" s="8">
        <f ca="1">'Fixed cost calculation'!K44</f>
        <v>8350.8184682027586</v>
      </c>
      <c r="D39" s="8">
        <f ca="1">'Fixed cost calculation'!Q44</f>
        <v>8768.3593916128975</v>
      </c>
      <c r="E39" s="5" t="s">
        <v>106</v>
      </c>
    </row>
    <row r="40" spans="2:5">
      <c r="B40" s="1" t="str">
        <f>'Fixed cost calculation'!A51</f>
        <v>Hydro_1</v>
      </c>
      <c r="C40" s="8">
        <f>'Fixed cost calculation'!K51</f>
        <v>2217.1780428556262</v>
      </c>
      <c r="D40" s="8">
        <f>'Fixed cost calculation'!Q51</f>
        <v>2549.7547492839703</v>
      </c>
      <c r="E40" s="5" t="s">
        <v>108</v>
      </c>
    </row>
    <row r="41" spans="2:5">
      <c r="B41" s="1" t="str">
        <f>'Fixed cost calculation'!A52</f>
        <v>Hydro_2</v>
      </c>
      <c r="C41" s="8">
        <f ca="1">'Fixed cost calculation'!K52</f>
        <v>1079.7678008813784</v>
      </c>
      <c r="D41" s="8">
        <f ca="1">'Fixed cost calculation'!Q52</f>
        <v>1284.9236830488403</v>
      </c>
      <c r="E41" s="5" t="s">
        <v>109</v>
      </c>
    </row>
    <row r="42" spans="2:5">
      <c r="B42" s="1" t="str">
        <f>'Fixed cost calculation'!A53</f>
        <v>Hydro_3</v>
      </c>
      <c r="C42" s="8">
        <f ca="1">'Fixed cost calculation'!K53</f>
        <v>1934.9934501226594</v>
      </c>
      <c r="D42" s="8">
        <f ca="1">'Fixed cost calculation'!Q53</f>
        <v>2167.1926641373784</v>
      </c>
      <c r="E42" s="5" t="s">
        <v>110</v>
      </c>
    </row>
    <row r="43" spans="2:5">
      <c r="B43" s="1" t="str">
        <f>'Fixed cost calculation'!A54</f>
        <v>Hydro_4</v>
      </c>
      <c r="C43" s="8">
        <f ca="1">'Fixed cost calculation'!K54</f>
        <v>2280.3857038105398</v>
      </c>
      <c r="D43" s="8">
        <f ca="1">'Fixed cost calculation'!Q54</f>
        <v>2531.2281312296991</v>
      </c>
      <c r="E43" s="5" t="s">
        <v>111</v>
      </c>
    </row>
    <row r="44" spans="2:5">
      <c r="B44" s="1" t="str">
        <f>'Fixed cost calculation'!A55</f>
        <v>Hydro_5</v>
      </c>
      <c r="C44" s="8">
        <f ca="1">'Fixed cost calculation'!K55</f>
        <v>1331.6614261592288</v>
      </c>
      <c r="D44" s="8">
        <f ca="1">'Fixed cost calculation'!Q55</f>
        <v>1664.5767826990359</v>
      </c>
      <c r="E44" s="5" t="s">
        <v>113</v>
      </c>
    </row>
    <row r="45" spans="2:5">
      <c r="B45" s="1" t="str">
        <f>'Fixed cost calculation'!A56</f>
        <v>Hydro_6</v>
      </c>
      <c r="C45" s="8">
        <f ca="1">'Fixed cost calculation'!K56</f>
        <v>1655.9384299923779</v>
      </c>
      <c r="D45" s="8">
        <f ca="1">'Fixed cost calculation'!Q56</f>
        <v>2020.2448845907011</v>
      </c>
      <c r="E45" s="5" t="s">
        <v>114</v>
      </c>
    </row>
    <row r="46" spans="2:5">
      <c r="B46" s="1" t="str">
        <f>'Fixed cost calculation'!A57</f>
        <v>Hydro_7</v>
      </c>
      <c r="C46" s="8">
        <f ca="1">'Fixed cost calculation'!K57</f>
        <v>1776.6772878296301</v>
      </c>
      <c r="D46" s="8">
        <f ca="1">'Fixed cost calculation'!Q57</f>
        <v>1954.3450166125931</v>
      </c>
      <c r="E46" s="5" t="s">
        <v>115</v>
      </c>
    </row>
    <row r="47" spans="2:5">
      <c r="B47" s="1" t="str">
        <f>'Fixed cost calculation'!A58</f>
        <v>Hydro_8</v>
      </c>
      <c r="C47" s="8">
        <f ca="1">'Fixed cost calculation'!K58</f>
        <v>1885.8928198445276</v>
      </c>
      <c r="D47" s="8">
        <f ca="1">'Fixed cost calculation'!Q58</f>
        <v>2112.1999582258709</v>
      </c>
      <c r="E47" s="5" t="s">
        <v>117</v>
      </c>
    </row>
    <row r="48" spans="2:5">
      <c r="B48" s="1" t="str">
        <f>'Fixed cost calculation'!A59</f>
        <v>Hydro_9</v>
      </c>
      <c r="C48" s="8">
        <f ca="1">'Fixed cost calculation'!K59</f>
        <v>1463.3264908511992</v>
      </c>
      <c r="D48" s="8">
        <f ca="1">'Fixed cost calculation'!Q59</f>
        <v>1770.625053929951</v>
      </c>
      <c r="E48" s="5" t="s">
        <v>118</v>
      </c>
    </row>
    <row r="49" spans="2:5">
      <c r="B49" s="1" t="str">
        <f>'Fixed cost calculation'!A60</f>
        <v>Hydro_10</v>
      </c>
      <c r="C49" s="8">
        <f ca="1">'Fixed cost calculation'!K60</f>
        <v>1293.3715572906794</v>
      </c>
      <c r="D49" s="8">
        <f ca="1">'Fixed cost calculation'!Q60</f>
        <v>1526.1784376030018</v>
      </c>
      <c r="E49" s="5" t="s">
        <v>119</v>
      </c>
    </row>
    <row r="50" spans="2:5">
      <c r="B50" s="1" t="str">
        <f>'Fixed cost calculation'!A61</f>
        <v>Hydro_11</v>
      </c>
      <c r="C50" s="8">
        <f ca="1">'Fixed cost calculation'!K61</f>
        <v>1685.0161367483515</v>
      </c>
      <c r="D50" s="8">
        <f ca="1">'Fixed cost calculation'!Q61</f>
        <v>2106.2701709354396</v>
      </c>
      <c r="E50" s="5" t="s">
        <v>121</v>
      </c>
    </row>
    <row r="51" spans="2:5">
      <c r="B51" s="1" t="str">
        <f>'Fixed cost calculation'!A62</f>
        <v>Hydro_12</v>
      </c>
      <c r="C51" s="8">
        <f ca="1">'Fixed cost calculation'!K62</f>
        <v>2005.5246731426114</v>
      </c>
      <c r="D51" s="8">
        <f ca="1">'Fixed cost calculation'!Q62</f>
        <v>2226.1323871882987</v>
      </c>
      <c r="E51" s="5" t="s">
        <v>122</v>
      </c>
    </row>
    <row r="52" spans="2:5">
      <c r="B52" s="1" t="str">
        <f>'Fixed cost calculation'!A63</f>
        <v>Hydro_13</v>
      </c>
      <c r="C52" s="8">
        <f ca="1">'Fixed cost calculation'!K63</f>
        <v>1165.6307604016808</v>
      </c>
      <c r="D52" s="8">
        <f ca="1">'Fixed cost calculation'!Q63</f>
        <v>1293.8501440458658</v>
      </c>
      <c r="E52" s="5" t="s">
        <v>123</v>
      </c>
    </row>
    <row r="53" spans="2:5">
      <c r="B53" s="1" t="str">
        <f>'Fixed cost calculation'!A64</f>
        <v>Hydro_14</v>
      </c>
      <c r="C53" s="8">
        <f ca="1">'Fixed cost calculation'!K64</f>
        <v>1437.2825826443006</v>
      </c>
      <c r="D53" s="8">
        <f ca="1">'Fixed cost calculation'!Q64</f>
        <v>1609.7564925616166</v>
      </c>
      <c r="E53" s="5" t="s">
        <v>125</v>
      </c>
    </row>
    <row r="54" spans="2:5">
      <c r="B54" s="1" t="str">
        <f>'Fixed cost calculation'!A67</f>
        <v>Solar_1</v>
      </c>
      <c r="C54" s="8">
        <f>'Fixed cost calculation'!K67</f>
        <v>898.84073890712409</v>
      </c>
      <c r="D54" s="8">
        <f>'Fixed cost calculation'!Q67</f>
        <v>1006.7016275759789</v>
      </c>
      <c r="E54" s="5" t="s">
        <v>126</v>
      </c>
    </row>
    <row r="55" spans="2:5">
      <c r="B55" s="1" t="str">
        <f>'Fixed cost calculation'!A68</f>
        <v>Solar_2</v>
      </c>
      <c r="C55" s="8">
        <f ca="1">'Fixed cost calculation'!K68</f>
        <v>1202.3079437595891</v>
      </c>
      <c r="D55" s="8">
        <f ca="1">'Fixed cost calculation'!Q68</f>
        <v>1418.723373636315</v>
      </c>
      <c r="E55" s="5" t="s">
        <v>127</v>
      </c>
    </row>
    <row r="56" spans="2:5">
      <c r="B56" s="1" t="str">
        <f>'Fixed cost calculation'!A69</f>
        <v>Solar_3</v>
      </c>
      <c r="C56" s="8">
        <f ca="1">'Fixed cost calculation'!K69</f>
        <v>938.59601843903283</v>
      </c>
      <c r="D56" s="8">
        <f ca="1">'Fixed cost calculation'!Q69</f>
        <v>1079.3854212048877</v>
      </c>
      <c r="E56" s="5" t="s">
        <v>129</v>
      </c>
    </row>
    <row r="57" spans="2:5">
      <c r="B57" s="1" t="str">
        <f>'Fixed cost calculation'!A70</f>
        <v>Solar_4</v>
      </c>
      <c r="C57" s="8">
        <f ca="1">'Fixed cost calculation'!K70</f>
        <v>980.41786996074052</v>
      </c>
      <c r="D57" s="8">
        <f ca="1">'Fixed cost calculation'!Q70</f>
        <v>1107.8721930556367</v>
      </c>
      <c r="E57" s="5" t="s">
        <v>130</v>
      </c>
    </row>
    <row r="58" spans="2:5">
      <c r="B58" s="1" t="str">
        <f>'Fixed cost calculation'!A71</f>
        <v>Solar_5</v>
      </c>
      <c r="C58" s="8">
        <f ca="1">'Fixed cost calculation'!K71</f>
        <v>947.67056685796331</v>
      </c>
      <c r="D58" s="8">
        <f ca="1">'Fixed cost calculation'!Q71</f>
        <v>1061.3910348809188</v>
      </c>
      <c r="E58" s="5" t="s">
        <v>131</v>
      </c>
    </row>
    <row r="59" spans="2:5">
      <c r="B59" s="1" t="str">
        <f>'Fixed cost calculation'!A72</f>
        <v>Solar_6</v>
      </c>
      <c r="C59" s="8">
        <f ca="1">'Fixed cost calculation'!K72</f>
        <v>950.40380665140265</v>
      </c>
      <c r="D59" s="8">
        <f ca="1">'Fixed cost calculation'!Q72</f>
        <v>1168.9966821812252</v>
      </c>
      <c r="E59" s="5" t="s">
        <v>132</v>
      </c>
    </row>
    <row r="60" spans="2:5">
      <c r="B60" s="1" t="str">
        <f>'Fixed cost calculation'!A73</f>
        <v>Solar_7</v>
      </c>
      <c r="C60" s="8">
        <f ca="1">'Fixed cost calculation'!K73</f>
        <v>946.98017928232991</v>
      </c>
      <c r="D60" s="8">
        <f ca="1">'Fixed cost calculation'!Q73</f>
        <v>1126.9064133459726</v>
      </c>
      <c r="E60" s="5" t="s">
        <v>134</v>
      </c>
    </row>
    <row r="61" spans="2:5">
      <c r="B61" s="1" t="str">
        <f>'Fixed cost calculation'!A74</f>
        <v>Solar_8</v>
      </c>
      <c r="C61" s="8">
        <f ca="1">'Fixed cost calculation'!K74</f>
        <v>858.74565795179751</v>
      </c>
      <c r="D61" s="8">
        <f ca="1">'Fixed cost calculation'!Q74</f>
        <v>961.79513690601323</v>
      </c>
      <c r="E61" s="5" t="s">
        <v>135</v>
      </c>
    </row>
    <row r="62" spans="2:5">
      <c r="B62" s="1" t="str">
        <f>'Fixed cost calculation'!A75</f>
        <v>Solar_9</v>
      </c>
      <c r="C62" s="8">
        <f ca="1">'Fixed cost calculation'!K75</f>
        <v>964.82981764276383</v>
      </c>
      <c r="D62" s="8">
        <f ca="1">'Fixed cost calculation'!Q75</f>
        <v>1186.7406757005995</v>
      </c>
      <c r="E62" s="5" t="s">
        <v>136</v>
      </c>
    </row>
    <row r="63" spans="2:5">
      <c r="B63" s="1" t="str">
        <f>'Fixed cost calculation'!A76</f>
        <v>Solar_10</v>
      </c>
      <c r="C63" s="8">
        <f ca="1">'Fixed cost calculation'!K76</f>
        <v>840.16541308787112</v>
      </c>
      <c r="D63" s="8">
        <f ca="1">'Fixed cost calculation'!Q76</f>
        <v>1016.600149836324</v>
      </c>
      <c r="E63" s="5" t="s">
        <v>137</v>
      </c>
    </row>
    <row r="64" spans="2:5">
      <c r="B64" s="1" t="str">
        <f>'Fixed cost calculation'!A77</f>
        <v>Solar_11</v>
      </c>
      <c r="C64" s="8">
        <f ca="1">'Fixed cost calculation'!K77</f>
        <v>975.45148972984975</v>
      </c>
      <c r="D64" s="8">
        <f ca="1">'Fixed cost calculation'!Q77</f>
        <v>1121.7692131893273</v>
      </c>
      <c r="E64" s="5" t="s">
        <v>138</v>
      </c>
    </row>
    <row r="65" spans="2:5">
      <c r="B65" s="1" t="str">
        <f>'Fixed cost calculation'!A78</f>
        <v>Solar_12</v>
      </c>
      <c r="C65" s="8">
        <f ca="1">'Fixed cost calculation'!K78</f>
        <v>882.00800139911814</v>
      </c>
      <c r="D65" s="8">
        <f ca="1">'Fixed cost calculation'!Q78</f>
        <v>1031.9493616369682</v>
      </c>
      <c r="E65" s="5" t="s">
        <v>139</v>
      </c>
    </row>
    <row r="66" spans="2:5">
      <c r="B66" s="1" t="str">
        <f>'Fixed cost calculation'!A79</f>
        <v>Solar_13</v>
      </c>
      <c r="C66" s="8">
        <f ca="1">'Fixed cost calculation'!K79</f>
        <v>925.02720693017602</v>
      </c>
      <c r="D66" s="8">
        <f ca="1">'Fixed cost calculation'!Q79</f>
        <v>1110.0326483162112</v>
      </c>
      <c r="E66" s="5" t="s">
        <v>140</v>
      </c>
    </row>
    <row r="67" spans="2:5">
      <c r="B67" s="1" t="str">
        <f>'Fixed cost calculation'!A80</f>
        <v>Solar_14</v>
      </c>
      <c r="C67" s="8">
        <f ca="1">'Fixed cost calculation'!K80</f>
        <v>879.14651988627793</v>
      </c>
      <c r="D67" s="8">
        <f ca="1">'Fixed cost calculation'!Q80</f>
        <v>984.64410227263124</v>
      </c>
      <c r="E67" s="5" t="s">
        <v>141</v>
      </c>
    </row>
    <row r="68" spans="2:5">
      <c r="B68" s="1" t="str">
        <f>'Fixed cost calculation'!A81</f>
        <v>Solar_15</v>
      </c>
      <c r="C68" s="8">
        <f ca="1">'Fixed cost calculation'!K81</f>
        <v>886.25237551340251</v>
      </c>
      <c r="D68" s="8">
        <f ca="1">'Fixed cost calculation'!Q81</f>
        <v>1081.2278981263512</v>
      </c>
      <c r="E68" s="5" t="s">
        <v>143</v>
      </c>
    </row>
    <row r="69" spans="2:5">
      <c r="B69" s="1" t="str">
        <f>'Fixed cost calculation'!A82</f>
        <v>Solar_16</v>
      </c>
      <c r="C69" s="8">
        <f ca="1">'Fixed cost calculation'!K82</f>
        <v>976.74930634107966</v>
      </c>
      <c r="D69" s="8">
        <f ca="1">'Fixed cost calculation'!Q82</f>
        <v>1162.3316745458849</v>
      </c>
      <c r="E69" s="5" t="s">
        <v>144</v>
      </c>
    </row>
    <row r="70" spans="2:5">
      <c r="B70" s="1" t="str">
        <f>'Fixed cost calculation'!A83</f>
        <v>Solar_17</v>
      </c>
      <c r="C70" s="8">
        <f ca="1">'Fixed cost calculation'!K83</f>
        <v>852.43819091525927</v>
      </c>
      <c r="D70" s="8">
        <f ca="1">'Fixed cost calculation'!Q83</f>
        <v>980.30391955254811</v>
      </c>
      <c r="E70" s="5" t="s">
        <v>145</v>
      </c>
    </row>
    <row r="71" spans="2:5">
      <c r="B71" s="1" t="str">
        <f>'Fixed cost calculation'!A84</f>
        <v>Solar_18</v>
      </c>
      <c r="C71" s="8">
        <f ca="1">'Fixed cost calculation'!K84</f>
        <v>868.64221143701229</v>
      </c>
      <c r="D71" s="8">
        <f ca="1">'Fixed cost calculation'!Q84</f>
        <v>1042.3706537244148</v>
      </c>
      <c r="E71" s="5" t="s">
        <v>146</v>
      </c>
    </row>
    <row r="72" spans="2:5">
      <c r="B72" s="1" t="str">
        <f>'Fixed cost calculation'!A85</f>
        <v>Solar_19</v>
      </c>
      <c r="C72" s="8">
        <f ca="1">'Fixed cost calculation'!K85</f>
        <v>978.86362606356226</v>
      </c>
      <c r="D72" s="8">
        <f ca="1">'Fixed cost calculation'!Q85</f>
        <v>1194.213623797546</v>
      </c>
      <c r="E72" s="5" t="s">
        <v>148</v>
      </c>
    </row>
    <row r="73" spans="2:5">
      <c r="B73" s="1" t="str">
        <f>'Fixed cost calculation'!A86</f>
        <v>Solar_20</v>
      </c>
      <c r="C73" s="8">
        <f ca="1">'Fixed cost calculation'!K86</f>
        <v>910.90379529640654</v>
      </c>
      <c r="D73" s="8">
        <f ca="1">'Fixed cost calculation'!Q86</f>
        <v>1056.6484025438317</v>
      </c>
      <c r="E73" s="5" t="s">
        <v>149</v>
      </c>
    </row>
    <row r="74" spans="2:5">
      <c r="B74" s="1" t="str">
        <f>'Fixed cost calculation'!A87</f>
        <v>Solar_21</v>
      </c>
      <c r="C74" s="8">
        <f ca="1">'Fixed cost calculation'!K87</f>
        <v>876.96092428366285</v>
      </c>
      <c r="D74" s="8">
        <f ca="1">'Fixed cost calculation'!Q87</f>
        <v>999.73545368337568</v>
      </c>
      <c r="E74" s="5" t="s">
        <v>151</v>
      </c>
    </row>
    <row r="75" spans="2:5">
      <c r="B75" s="1" t="str">
        <f>'Fixed cost calculation'!A88</f>
        <v>Solar_22</v>
      </c>
      <c r="C75" s="8">
        <f ca="1">'Fixed cost calculation'!K88</f>
        <v>892.26853684244873</v>
      </c>
      <c r="D75" s="8">
        <f ca="1">'Fixed cost calculation'!Q88</f>
        <v>990.41807589511814</v>
      </c>
      <c r="E75" s="5" t="s">
        <v>152</v>
      </c>
    </row>
    <row r="76" spans="2:5">
      <c r="B76" s="1" t="str">
        <f>'Fixed cost calculation'!A89</f>
        <v>Solar_23</v>
      </c>
      <c r="C76" s="8">
        <f ca="1">'Fixed cost calculation'!K89</f>
        <v>958.69601942048155</v>
      </c>
      <c r="D76" s="8">
        <f ca="1">'Fixed cost calculation'!Q89</f>
        <v>1102.5004223335538</v>
      </c>
      <c r="E76" s="5" t="s">
        <v>154</v>
      </c>
    </row>
    <row r="77" spans="2:5">
      <c r="B77" s="1" t="str">
        <f>'Fixed cost calculation'!A90</f>
        <v>Solar_24</v>
      </c>
      <c r="C77" s="8">
        <f ca="1">'Fixed cost calculation'!K90</f>
        <v>984.42499516409805</v>
      </c>
      <c r="D77" s="8">
        <f ca="1">'Fixed cost calculation'!Q90</f>
        <v>1112.4002445354308</v>
      </c>
      <c r="E77" s="5" t="s">
        <v>155</v>
      </c>
    </row>
    <row r="78" spans="2:5">
      <c r="B78" s="1" t="str">
        <f>'Fixed cost calculation'!A91</f>
        <v>Solar_25</v>
      </c>
      <c r="C78" s="8">
        <f ca="1">'Fixed cost calculation'!K91</f>
        <v>906.16005788891084</v>
      </c>
      <c r="D78" s="8">
        <f ca="1">'Fixed cost calculation'!Q91</f>
        <v>996.77606367780197</v>
      </c>
      <c r="E78" s="5" t="s">
        <v>157</v>
      </c>
    </row>
    <row r="79" spans="2:5">
      <c r="B79" s="1" t="str">
        <f>'Fixed cost calculation'!A92</f>
        <v>Solar_26</v>
      </c>
      <c r="C79" s="8">
        <f ca="1">'Fixed cost calculation'!K92</f>
        <v>843.74631265639891</v>
      </c>
      <c r="D79" s="8">
        <f ca="1">'Fixed cost calculation'!Q92</f>
        <v>1029.3705014408067</v>
      </c>
      <c r="E79" s="5" t="s">
        <v>158</v>
      </c>
    </row>
    <row r="80" spans="2:5">
      <c r="B80" s="1" t="str">
        <f>'Fixed cost calculation'!A93</f>
        <v>Solar_27</v>
      </c>
      <c r="C80" s="8">
        <f ca="1">'Fixed cost calculation'!K93</f>
        <v>951.80634090644151</v>
      </c>
      <c r="D80" s="8">
        <f ca="1">'Fixed cost calculation'!Q93</f>
        <v>1056.5050384061501</v>
      </c>
      <c r="E80" s="5" t="s">
        <v>160</v>
      </c>
    </row>
    <row r="81" spans="2:5">
      <c r="B81" s="1" t="str">
        <f>'Fixed cost calculation'!A94</f>
        <v>Solar_28</v>
      </c>
      <c r="C81" s="8">
        <f ca="1">'Fixed cost calculation'!K94</f>
        <v>920.5466736059883</v>
      </c>
      <c r="D81" s="8">
        <f ca="1">'Fixed cost calculation'!Q94</f>
        <v>1040.2177411747668</v>
      </c>
      <c r="E81" s="5" t="s">
        <v>162</v>
      </c>
    </row>
    <row r="82" spans="2:5">
      <c r="B82" s="1" t="str">
        <f>'Fixed cost calculation'!A95</f>
        <v>Solar_29</v>
      </c>
      <c r="C82" s="8">
        <f ca="1">'Fixed cost calculation'!K95</f>
        <v>918.52829467539175</v>
      </c>
      <c r="D82" s="8">
        <f ca="1">'Fixed cost calculation'!Q95</f>
        <v>1074.6781047702084</v>
      </c>
      <c r="E82" s="5" t="s">
        <v>165</v>
      </c>
    </row>
    <row r="83" spans="2:5">
      <c r="B83" s="1" t="str">
        <f>'Fixed cost calculation'!A98</f>
        <v>Nuclear_1</v>
      </c>
      <c r="C83" s="8">
        <f>'Fixed cost calculation'!K98</f>
        <v>3479.1572083481674</v>
      </c>
      <c r="D83" s="8">
        <f>'Fixed cost calculation'!Q98</f>
        <v>4244.5717941847643</v>
      </c>
      <c r="E83" s="5" t="s">
        <v>166</v>
      </c>
    </row>
    <row r="84" spans="2:5">
      <c r="B84" s="1" t="str">
        <f>'Fixed cost calculation'!A99</f>
        <v>Nuclear_2</v>
      </c>
      <c r="C84" s="8">
        <f ca="1">'Fixed cost calculation'!K99</f>
        <v>4059.1635359000384</v>
      </c>
      <c r="D84" s="8">
        <f ca="1">'Fixed cost calculation'!Q99</f>
        <v>4505.6715248490427</v>
      </c>
      <c r="E84" s="5" t="s">
        <v>167</v>
      </c>
    </row>
    <row r="85" spans="2:5">
      <c r="B85" s="1" t="str">
        <f>'Fixed cost calculation'!A100</f>
        <v>Nuclear_3</v>
      </c>
      <c r="C85" s="8">
        <f ca="1">'Fixed cost calculation'!K100</f>
        <v>3860.2248536494944</v>
      </c>
      <c r="D85" s="8">
        <f ca="1">'Fixed cost calculation'!Q100</f>
        <v>4670.8720729158886</v>
      </c>
      <c r="E85" s="5" t="s">
        <v>169</v>
      </c>
    </row>
    <row r="86" spans="2:5">
      <c r="B86" s="1" t="str">
        <f>'Fixed cost calculation'!A101</f>
        <v>Nuclear_4</v>
      </c>
      <c r="C86" s="8">
        <f ca="1">'Fixed cost calculation'!K101</f>
        <v>3860.8781174106525</v>
      </c>
      <c r="D86" s="8">
        <f ca="1">'Fixed cost calculation'!Q101</f>
        <v>4324.1834914999308</v>
      </c>
      <c r="E86" s="5" t="s">
        <v>170</v>
      </c>
    </row>
    <row r="87" spans="2:5">
      <c r="B87" s="1" t="str">
        <f>'Fixed cost calculation'!A102</f>
        <v>Nuclear_5</v>
      </c>
      <c r="C87" s="8">
        <f ca="1">'Fixed cost calculation'!K102</f>
        <v>3329.9763144072226</v>
      </c>
      <c r="D87" s="8">
        <f ca="1">'Fixed cost calculation'!Q102</f>
        <v>3829.4727615683059</v>
      </c>
      <c r="E87" s="5" t="s">
        <v>172</v>
      </c>
    </row>
    <row r="88" spans="2:5">
      <c r="B88" s="1" t="str">
        <f>'Fixed cost calculation'!A103</f>
        <v>Nuclear_6</v>
      </c>
      <c r="C88" s="8">
        <f ca="1">'Fixed cost calculation'!K103</f>
        <v>3984.4868238246313</v>
      </c>
      <c r="D88" s="8">
        <f ca="1">'Fixed cost calculation'!Q103</f>
        <v>4701.6944521130645</v>
      </c>
      <c r="E88" s="5" t="s">
        <v>173</v>
      </c>
    </row>
    <row r="89" spans="2:5">
      <c r="B89" s="1" t="str">
        <f>'Fixed cost calculation'!A104</f>
        <v>Nuclear_7</v>
      </c>
      <c r="C89" s="8">
        <f ca="1">'Fixed cost calculation'!K104</f>
        <v>3886.4199820469908</v>
      </c>
      <c r="D89" s="8">
        <f ca="1">'Fixed cost calculation'!Q104</f>
        <v>4391.6545797130993</v>
      </c>
      <c r="E89" s="5" t="s">
        <v>178</v>
      </c>
    </row>
    <row r="90" spans="2:5">
      <c r="B90" s="1" t="str">
        <f>'Fixed cost calculation'!A105</f>
        <v>Nuclear_8</v>
      </c>
      <c r="C90" s="8">
        <f ca="1">'Fixed cost calculation'!K105</f>
        <v>3424.3040694581314</v>
      </c>
      <c r="D90" s="8">
        <f ca="1">'Fixed cost calculation'!Q105</f>
        <v>4074.9218426551761</v>
      </c>
      <c r="E90" s="5" t="s">
        <v>181</v>
      </c>
    </row>
    <row r="91" spans="2:5">
      <c r="B91" s="1" t="str">
        <f>'Fixed cost calculation'!A106</f>
        <v>Nuclear_9</v>
      </c>
      <c r="C91" s="8">
        <f ca="1">'Fixed cost calculation'!K106</f>
        <v>3395.853688695343</v>
      </c>
      <c r="D91" s="8">
        <f ca="1">'Fixed cost calculation'!Q106</f>
        <v>3939.1902788865978</v>
      </c>
      <c r="E91" s="5" t="s">
        <v>182</v>
      </c>
    </row>
    <row r="92" spans="2:5">
      <c r="B92" s="1" t="str">
        <f>'Fixed cost calculation'!A107</f>
        <v>Nuclear_10</v>
      </c>
      <c r="C92" s="8">
        <f ca="1">'Fixed cost calculation'!K107</f>
        <v>3715.8564370576191</v>
      </c>
      <c r="D92" s="8">
        <f ca="1">'Fixed cost calculation'!Q107</f>
        <v>4533.3448532102957</v>
      </c>
      <c r="E92" s="5" t="s">
        <v>185</v>
      </c>
    </row>
    <row r="93" spans="2:5">
      <c r="B93" s="1" t="str">
        <f>'Fixed cost calculation'!A108</f>
        <v>Nuclear_11</v>
      </c>
      <c r="C93" s="8">
        <f ca="1">'Fixed cost calculation'!K108</f>
        <v>3504.95007154312</v>
      </c>
      <c r="D93" s="8">
        <f ca="1">'Fixed cost calculation'!Q108</f>
        <v>3925.5440801282944</v>
      </c>
      <c r="E93" s="5" t="s">
        <v>187</v>
      </c>
    </row>
    <row r="94" spans="2:5">
      <c r="B94" s="1" t="str">
        <f>'Fixed cost calculation'!A109</f>
        <v>Nuclear_12</v>
      </c>
      <c r="C94" s="8">
        <f ca="1">'Fixed cost calculation'!K109</f>
        <v>3293.9254913417549</v>
      </c>
      <c r="D94" s="8">
        <f ca="1">'Fixed cost calculation'!Q109</f>
        <v>4084.467609263776</v>
      </c>
      <c r="E94" s="5" t="s">
        <v>189</v>
      </c>
    </row>
    <row r="95" spans="2:5">
      <c r="B95" s="1" t="str">
        <f>'Fixed cost calculation'!A112</f>
        <v>Wind_1</v>
      </c>
      <c r="C95" s="8">
        <f>'Fixed cost calculation'!K112</f>
        <v>1144.0059371939765</v>
      </c>
      <c r="D95" s="8">
        <f>'Fixed cost calculation'!Q112</f>
        <v>1292.7267090291934</v>
      </c>
      <c r="E95" s="5" t="s">
        <v>192</v>
      </c>
    </row>
    <row r="96" spans="2:5">
      <c r="B96" s="1" t="str">
        <f>'Fixed cost calculation'!A113</f>
        <v>Wind_2</v>
      </c>
      <c r="C96" s="8">
        <f ca="1">'Fixed cost calculation'!K113</f>
        <v>1402.6520476038695</v>
      </c>
      <c r="D96" s="8">
        <f ca="1">'Fixed cost calculation'!Q113</f>
        <v>1669.1559366486047</v>
      </c>
      <c r="E96" s="5" t="s">
        <v>193</v>
      </c>
    </row>
    <row r="97" spans="2:5">
      <c r="B97" s="1" t="str">
        <f>'Fixed cost calculation'!A114</f>
        <v>Wind_3</v>
      </c>
      <c r="C97" s="8">
        <f ca="1">'Fixed cost calculation'!K114</f>
        <v>1341.8660584455729</v>
      </c>
      <c r="D97" s="8">
        <f ca="1">'Fixed cost calculation'!Q114</f>
        <v>1623.6579307191432</v>
      </c>
      <c r="E97" s="5" t="s">
        <v>195</v>
      </c>
    </row>
    <row r="98" spans="2:5">
      <c r="B98" s="1" t="str">
        <f>'Fixed cost calculation'!A115</f>
        <v>Wind_4</v>
      </c>
      <c r="C98" s="8">
        <f ca="1">'Fixed cost calculation'!K115</f>
        <v>1150.7702438678225</v>
      </c>
      <c r="D98" s="8">
        <f ca="1">'Fixed cost calculation'!Q115</f>
        <v>1369.4165902027089</v>
      </c>
      <c r="E98" s="5" t="s">
        <v>198</v>
      </c>
    </row>
    <row r="99" spans="2:5">
      <c r="B99" s="1" t="str">
        <f>'Fixed cost calculation'!A116</f>
        <v>Wind_5</v>
      </c>
      <c r="C99" s="8">
        <f ca="1">'Fixed cost calculation'!K116</f>
        <v>1808.3000899938411</v>
      </c>
      <c r="D99" s="8">
        <f ca="1">'Fixed cost calculation'!Q116</f>
        <v>2079.5451034929174</v>
      </c>
      <c r="E99" s="5" t="s">
        <v>200</v>
      </c>
    </row>
    <row r="100" spans="2:5">
      <c r="B100" s="1" t="str">
        <f>'Fixed cost calculation'!A117</f>
        <v>Wind_6</v>
      </c>
      <c r="C100" s="8">
        <f ca="1">'Fixed cost calculation'!K117</f>
        <v>1243.5090062593731</v>
      </c>
      <c r="D100" s="8">
        <f ca="1">'Fixed cost calculation'!Q117</f>
        <v>1430.0353571982791</v>
      </c>
      <c r="E100" s="5" t="s">
        <v>203</v>
      </c>
    </row>
    <row r="101" spans="2:5">
      <c r="B101" s="1" t="str">
        <f>'Fixed cost calculation'!A118</f>
        <v>Wind_7</v>
      </c>
      <c r="C101" s="8">
        <f ca="1">'Fixed cost calculation'!K118</f>
        <v>848.29112022650065</v>
      </c>
      <c r="D101" s="8">
        <f ca="1">'Fixed cost calculation'!Q118</f>
        <v>1051.8809890808609</v>
      </c>
      <c r="E101" s="5" t="s">
        <v>204</v>
      </c>
    </row>
    <row r="102" spans="2:5">
      <c r="B102" s="1" t="str">
        <f>'Fixed cost calculation'!A119</f>
        <v>Wind_8</v>
      </c>
      <c r="C102" s="8">
        <f ca="1">'Fixed cost calculation'!K119</f>
        <v>1586.5722874643102</v>
      </c>
      <c r="D102" s="8">
        <f ca="1">'Fixed cost calculation'!Q119</f>
        <v>1967.3496364557445</v>
      </c>
      <c r="E102" s="5" t="s">
        <v>206</v>
      </c>
    </row>
    <row r="103" spans="2:5">
      <c r="B103" s="1" t="str">
        <f>'Fixed cost calculation'!A120</f>
        <v>Wind_9</v>
      </c>
      <c r="C103" s="8">
        <f ca="1">'Fixed cost calculation'!K120</f>
        <v>1356.5218496488228</v>
      </c>
      <c r="D103" s="8">
        <f ca="1">'Fixed cost calculation'!Q120</f>
        <v>1654.9566565715638</v>
      </c>
      <c r="E103" s="5" t="s">
        <v>209</v>
      </c>
    </row>
    <row r="104" spans="2:5">
      <c r="B104" s="1" t="str">
        <f>'Fixed cost calculation'!A121</f>
        <v>Wind_10</v>
      </c>
      <c r="C104" s="8">
        <f ca="1">'Fixed cost calculation'!K121</f>
        <v>921.01106228142203</v>
      </c>
      <c r="D104" s="8">
        <f ca="1">'Fixed cost calculation'!Q121</f>
        <v>1059.1627216236352</v>
      </c>
      <c r="E104" s="5" t="s">
        <v>213</v>
      </c>
    </row>
    <row r="105" spans="2:5">
      <c r="B105" s="1" t="str">
        <f>'Fixed cost calculation'!A122</f>
        <v>Wind_11</v>
      </c>
      <c r="C105" s="8">
        <f ca="1">'Fixed cost calculation'!K122</f>
        <v>1030.2990013604813</v>
      </c>
      <c r="D105" s="8">
        <f ca="1">'Fixed cost calculation'!Q122</f>
        <v>1195.1468415781583</v>
      </c>
      <c r="E105" s="5" t="s">
        <v>217</v>
      </c>
    </row>
    <row r="106" spans="2:5">
      <c r="B106" s="1" t="str">
        <f>'Fixed cost calculation'!A123</f>
        <v>Wind_12</v>
      </c>
      <c r="C106" s="8">
        <f ca="1">'Fixed cost calculation'!K123</f>
        <v>1235.5594838138577</v>
      </c>
      <c r="D106" s="8">
        <f ca="1">'Fixed cost calculation'!Q123</f>
        <v>1457.960190900352</v>
      </c>
      <c r="E106" s="5" t="s">
        <v>221</v>
      </c>
    </row>
    <row r="107" spans="2:5">
      <c r="B107" s="1" t="str">
        <f>'Fixed cost calculation'!A124</f>
        <v>Wind_13</v>
      </c>
      <c r="C107" s="8">
        <f ca="1">'Fixed cost calculation'!K124</f>
        <v>768.97454419055657</v>
      </c>
    </row>
    <row r="108" spans="2:5">
      <c r="B108" s="1" t="str">
        <f>'Fixed cost calculation'!A125</f>
        <v>Wind_14</v>
      </c>
      <c r="C108" s="8">
        <f ca="1">'Fixed cost calculation'!K125</f>
        <v>623.32965416307741</v>
      </c>
    </row>
    <row r="109" spans="2:5">
      <c r="B109" s="1" t="str">
        <f>'Fixed cost calculation'!A126</f>
        <v>Wind_15</v>
      </c>
      <c r="C109" s="8">
        <f ca="1">'Fixed cost calculation'!K126</f>
        <v>492.19514971060363</v>
      </c>
    </row>
    <row r="110" spans="2:5">
      <c r="B110" s="1" t="str">
        <f>'Fixed cost calculation'!A127</f>
        <v>Wind_16</v>
      </c>
      <c r="C110" s="8">
        <f ca="1">'Fixed cost calculation'!K127</f>
        <v>1330.6824350074673</v>
      </c>
    </row>
    <row r="111" spans="2:5">
      <c r="B111" s="1" t="str">
        <f>'Fixed cost calculation'!A128</f>
        <v>Wind_17</v>
      </c>
      <c r="C111" s="8">
        <f ca="1">'Fixed cost calculation'!K128</f>
        <v>2207.046611253716</v>
      </c>
    </row>
    <row r="112" spans="2:5">
      <c r="B112" s="1" t="str">
        <f>'Fixed cost calculation'!A129</f>
        <v>Wind_18</v>
      </c>
      <c r="C112" s="8">
        <f ca="1">'Fixed cost calculation'!K129</f>
        <v>1722.0484589668049</v>
      </c>
    </row>
    <row r="113" spans="2:2">
      <c r="B113" s="1">
        <f>'Fixed cost calculation'!A130</f>
        <v>0</v>
      </c>
    </row>
    <row r="114" spans="2:2">
      <c r="B114" s="1" t="str">
        <f>'Fixed cost calculation'!A131</f>
        <v>Biomass</v>
      </c>
    </row>
    <row r="115" spans="2:2">
      <c r="B115" s="1">
        <f>'Fixed cost calculation'!A132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F2D0"/>
  </sheetPr>
  <dimension ref="A1:I1000"/>
  <sheetViews>
    <sheetView workbookViewId="0"/>
  </sheetViews>
  <sheetFormatPr defaultColWidth="10.08203125" defaultRowHeight="15" customHeight="1"/>
  <cols>
    <col min="1" max="1" width="15.6640625" customWidth="1"/>
    <col min="2" max="2" width="9.58203125" customWidth="1"/>
    <col min="3" max="3" width="15.83203125" customWidth="1"/>
    <col min="4" max="4" width="18.58203125" customWidth="1"/>
    <col min="5" max="5" width="21.4140625" customWidth="1"/>
    <col min="6" max="6" width="18.4140625" customWidth="1"/>
    <col min="7" max="7" width="27.6640625" customWidth="1"/>
    <col min="8" max="8" width="29.58203125" customWidth="1"/>
    <col min="9" max="9" width="28.6640625" customWidth="1"/>
    <col min="10" max="26" width="8.5" customWidth="1"/>
  </cols>
  <sheetData>
    <row r="1" spans="1:9" ht="18" customHeight="1">
      <c r="A1" s="2" t="s">
        <v>1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12</v>
      </c>
      <c r="I1" s="1" t="s">
        <v>13</v>
      </c>
    </row>
    <row r="2" spans="1:9" ht="18" customHeight="1">
      <c r="A2" s="2" t="s">
        <v>15</v>
      </c>
      <c r="B2" s="1" t="s">
        <v>16</v>
      </c>
      <c r="C2" s="6">
        <v>0.36</v>
      </c>
      <c r="D2" s="1">
        <v>9.1999999999999993</v>
      </c>
      <c r="E2" s="1">
        <v>0.27</v>
      </c>
      <c r="G2" s="1">
        <v>25000</v>
      </c>
      <c r="H2" s="1">
        <v>30000</v>
      </c>
      <c r="I2" s="1">
        <v>52000</v>
      </c>
    </row>
    <row r="3" spans="1:9" ht="18" customHeight="1">
      <c r="A3" s="2"/>
      <c r="B3" s="1" t="s">
        <v>19</v>
      </c>
      <c r="C3" s="6">
        <v>0.38</v>
      </c>
      <c r="D3" s="1">
        <v>8.3000000000000007</v>
      </c>
      <c r="E3" s="1">
        <v>0.2</v>
      </c>
      <c r="G3" s="1">
        <v>25000</v>
      </c>
      <c r="H3" s="1">
        <v>30000</v>
      </c>
      <c r="I3" s="1">
        <v>52000</v>
      </c>
    </row>
    <row r="4" spans="1:9" ht="18" customHeight="1">
      <c r="A4" s="2"/>
      <c r="B4" s="1" t="s">
        <v>19</v>
      </c>
      <c r="C4" s="7">
        <v>0.41299999999999998</v>
      </c>
      <c r="D4" s="1">
        <v>8.4</v>
      </c>
      <c r="E4" s="1">
        <v>0.2</v>
      </c>
    </row>
    <row r="5" spans="1:9" ht="18" customHeight="1">
      <c r="A5" s="2"/>
    </row>
    <row r="6" spans="1:9" ht="18" customHeight="1">
      <c r="A6" s="2" t="s">
        <v>20</v>
      </c>
      <c r="B6" s="1" t="s">
        <v>21</v>
      </c>
      <c r="C6" s="6">
        <v>0.28000000000000003</v>
      </c>
      <c r="D6" s="1">
        <v>5</v>
      </c>
      <c r="E6" s="1">
        <v>0.18</v>
      </c>
      <c r="G6" s="1">
        <v>2473</v>
      </c>
    </row>
    <row r="7" spans="1:9" ht="18" customHeight="1">
      <c r="A7" s="2"/>
      <c r="B7" s="1" t="s">
        <v>22</v>
      </c>
      <c r="C7" s="6">
        <v>0.6</v>
      </c>
      <c r="D7" s="1">
        <v>3.47</v>
      </c>
      <c r="E7" s="1">
        <v>0.28999999999999998</v>
      </c>
      <c r="G7" s="1">
        <v>1556</v>
      </c>
      <c r="H7" s="1">
        <v>7782</v>
      </c>
      <c r="I7" s="1">
        <v>12451</v>
      </c>
    </row>
    <row r="8" spans="1:9" ht="18" customHeight="1">
      <c r="A8" s="2"/>
      <c r="B8" s="1">
        <v>10</v>
      </c>
      <c r="C8" s="6">
        <v>0.45</v>
      </c>
      <c r="D8" s="1">
        <v>4.0999999999999996</v>
      </c>
      <c r="E8" s="1">
        <v>7.0000000000000007E-2</v>
      </c>
      <c r="F8" s="1">
        <v>557</v>
      </c>
    </row>
    <row r="9" spans="1:9" ht="18" customHeight="1">
      <c r="A9" s="2"/>
    </row>
    <row r="10" spans="1:9" ht="18" customHeight="1">
      <c r="A10" s="2" t="s">
        <v>23</v>
      </c>
      <c r="B10" s="1">
        <v>10</v>
      </c>
      <c r="C10" s="7">
        <v>0.26500000000000001</v>
      </c>
      <c r="D10" s="1">
        <v>5</v>
      </c>
      <c r="E10" s="1">
        <v>0.1</v>
      </c>
      <c r="G10" s="1">
        <v>2217</v>
      </c>
      <c r="H10" s="1">
        <v>3325</v>
      </c>
      <c r="I10" s="1">
        <v>4433</v>
      </c>
    </row>
    <row r="11" spans="1:9" ht="18" customHeight="1">
      <c r="A11" s="2"/>
    </row>
    <row r="12" spans="1:9" ht="18" customHeight="1">
      <c r="A12" s="2" t="s">
        <v>27</v>
      </c>
      <c r="B12" s="1">
        <v>2.5</v>
      </c>
      <c r="D12" s="1">
        <v>6.66</v>
      </c>
      <c r="E12" s="1">
        <v>6.8000000000000005E-2</v>
      </c>
      <c r="F12" s="1">
        <v>240</v>
      </c>
    </row>
    <row r="13" spans="1:9" ht="18" customHeight="1">
      <c r="A13" s="2" t="s">
        <v>28</v>
      </c>
      <c r="B13" s="1">
        <v>8</v>
      </c>
      <c r="D13" s="1">
        <v>23.1</v>
      </c>
      <c r="E13" s="1">
        <v>0.67400000000000004</v>
      </c>
    </row>
    <row r="14" spans="1:9" ht="18" customHeight="1">
      <c r="A14" s="2"/>
    </row>
    <row r="15" spans="1:9" ht="18" customHeight="1">
      <c r="A15" s="2" t="s">
        <v>32</v>
      </c>
      <c r="B15" s="1" t="s">
        <v>33</v>
      </c>
      <c r="D15" s="1">
        <v>5.4</v>
      </c>
      <c r="E15" s="1">
        <v>3.5000000000000003E-2</v>
      </c>
    </row>
    <row r="16" spans="1:9" ht="18" customHeight="1">
      <c r="A16" s="2"/>
    </row>
    <row r="17" spans="1:6" ht="18" customHeight="1">
      <c r="A17" s="9" t="s">
        <v>38</v>
      </c>
      <c r="B17" s="1" t="s">
        <v>40</v>
      </c>
      <c r="C17" s="7">
        <v>0.97299999999999998</v>
      </c>
      <c r="D17" s="1">
        <v>10.7</v>
      </c>
      <c r="E17" s="1">
        <v>0.44</v>
      </c>
    </row>
    <row r="18" spans="1:6" ht="18" customHeight="1">
      <c r="A18" s="2" t="s">
        <v>43</v>
      </c>
      <c r="B18" s="10" t="s">
        <v>44</v>
      </c>
      <c r="C18" s="6">
        <v>0.98</v>
      </c>
      <c r="D18" s="1">
        <v>11.9</v>
      </c>
      <c r="E18" s="1">
        <v>0.41</v>
      </c>
    </row>
    <row r="19" spans="1:6" ht="18" customHeight="1">
      <c r="A19" s="2" t="s">
        <v>48</v>
      </c>
      <c r="B19" s="11" t="s">
        <v>50</v>
      </c>
      <c r="C19" s="6">
        <v>0.45</v>
      </c>
      <c r="D19" s="1">
        <v>8.0399999999999991</v>
      </c>
      <c r="E19" s="1">
        <v>0.24</v>
      </c>
    </row>
    <row r="20" spans="1:6" ht="18" customHeight="1">
      <c r="A20" s="2"/>
    </row>
    <row r="21" spans="1:6" ht="18" customHeight="1">
      <c r="A21" s="2" t="s">
        <v>53</v>
      </c>
      <c r="B21" s="1" t="s">
        <v>54</v>
      </c>
      <c r="C21" s="7">
        <v>0.96899999999999997</v>
      </c>
      <c r="D21" s="1">
        <v>8.3000000000000007</v>
      </c>
      <c r="E21" s="1">
        <v>0.91</v>
      </c>
    </row>
    <row r="22" spans="1:6" ht="18" customHeight="1">
      <c r="A22" s="2" t="s">
        <v>55</v>
      </c>
      <c r="D22" s="1">
        <v>6</v>
      </c>
      <c r="E22" s="1">
        <v>0.15</v>
      </c>
    </row>
    <row r="23" spans="1:6" ht="18" customHeight="1">
      <c r="A23" s="2" t="s">
        <v>56</v>
      </c>
      <c r="D23" s="1">
        <v>3.85</v>
      </c>
      <c r="E23" s="1">
        <v>0.1</v>
      </c>
    </row>
    <row r="24" spans="1:6" ht="18" customHeight="1">
      <c r="A24" s="2"/>
    </row>
    <row r="25" spans="1:6" ht="18" customHeight="1">
      <c r="A25" s="2" t="s">
        <v>58</v>
      </c>
      <c r="B25" s="1">
        <v>460</v>
      </c>
      <c r="C25" s="6">
        <v>0.31</v>
      </c>
      <c r="D25" s="1">
        <v>11.7</v>
      </c>
      <c r="E25" s="1">
        <v>0.43</v>
      </c>
    </row>
    <row r="26" spans="1:6" ht="18" customHeight="1">
      <c r="A26" s="2" t="s">
        <v>59</v>
      </c>
      <c r="B26" s="1" t="s">
        <v>60</v>
      </c>
      <c r="C26" s="6">
        <v>0.31</v>
      </c>
      <c r="D26" s="1">
        <v>19</v>
      </c>
      <c r="E26" s="1">
        <v>0.26</v>
      </c>
    </row>
    <row r="27" spans="1:6" ht="18" customHeight="1">
      <c r="A27" s="2"/>
    </row>
    <row r="28" spans="1:6" ht="18" customHeight="1">
      <c r="A28" s="2" t="s">
        <v>61</v>
      </c>
      <c r="B28" s="1" t="s">
        <v>63</v>
      </c>
      <c r="C28" s="6">
        <v>0.9</v>
      </c>
      <c r="D28" s="1">
        <v>6.73</v>
      </c>
      <c r="E28" s="1">
        <v>0.08</v>
      </c>
      <c r="F28" s="1">
        <v>500</v>
      </c>
    </row>
    <row r="29" spans="1:6" ht="18" customHeight="1">
      <c r="A29" s="2"/>
    </row>
    <row r="30" spans="1:6" ht="18" customHeight="1">
      <c r="A30" s="2"/>
    </row>
    <row r="31" spans="1:6" ht="18" customHeight="1">
      <c r="A31" s="2"/>
    </row>
    <row r="32" spans="1:6" ht="18" customHeight="1">
      <c r="A32" s="2"/>
    </row>
    <row r="33" spans="1:1" ht="18" customHeight="1">
      <c r="A33" s="2"/>
    </row>
    <row r="34" spans="1:1" ht="18" customHeight="1">
      <c r="A34" s="2"/>
    </row>
    <row r="35" spans="1:1" ht="18" customHeight="1">
      <c r="A35" s="2"/>
    </row>
    <row r="36" spans="1:1" ht="18" customHeight="1">
      <c r="A36" s="2"/>
    </row>
    <row r="37" spans="1:1" ht="18" customHeight="1">
      <c r="A37" s="2"/>
    </row>
    <row r="38" spans="1:1" ht="18" customHeight="1">
      <c r="A38" s="2"/>
    </row>
    <row r="39" spans="1:1" ht="18" customHeight="1">
      <c r="A39" s="2"/>
    </row>
    <row r="40" spans="1:1" ht="18" customHeight="1">
      <c r="A40" s="2"/>
    </row>
    <row r="41" spans="1:1" ht="18" customHeight="1">
      <c r="A41" s="2"/>
    </row>
    <row r="42" spans="1:1" ht="18" customHeight="1">
      <c r="A42" s="2"/>
    </row>
    <row r="43" spans="1:1" ht="18" customHeight="1">
      <c r="A43" s="2"/>
    </row>
    <row r="44" spans="1:1" ht="18" customHeight="1">
      <c r="A44" s="2"/>
    </row>
    <row r="45" spans="1:1" ht="18" customHeight="1">
      <c r="A45" s="2"/>
    </row>
    <row r="46" spans="1:1" ht="18" customHeight="1">
      <c r="A46" s="2"/>
    </row>
    <row r="47" spans="1:1" ht="18" customHeight="1">
      <c r="A47" s="2"/>
    </row>
    <row r="48" spans="1:1" ht="18" customHeight="1">
      <c r="A48" s="2"/>
    </row>
    <row r="49" spans="1:1" ht="18" customHeight="1">
      <c r="A49" s="2"/>
    </row>
    <row r="50" spans="1:1" ht="18" customHeight="1">
      <c r="A50" s="2"/>
    </row>
    <row r="51" spans="1:1" ht="18" customHeight="1">
      <c r="A51" s="2"/>
    </row>
    <row r="52" spans="1:1" ht="18" customHeight="1">
      <c r="A52" s="2"/>
    </row>
    <row r="53" spans="1:1" ht="18" customHeight="1">
      <c r="A53" s="2"/>
    </row>
    <row r="54" spans="1:1" ht="18" customHeight="1">
      <c r="A54" s="2"/>
    </row>
    <row r="55" spans="1:1" ht="18" customHeight="1">
      <c r="A55" s="2"/>
    </row>
    <row r="56" spans="1:1" ht="18" customHeight="1">
      <c r="A56" s="2"/>
    </row>
    <row r="57" spans="1:1" ht="18" customHeight="1">
      <c r="A57" s="2"/>
    </row>
    <row r="58" spans="1:1" ht="18" customHeight="1">
      <c r="A58" s="2"/>
    </row>
    <row r="59" spans="1:1" ht="18" customHeight="1">
      <c r="A59" s="2"/>
    </row>
    <row r="60" spans="1:1" ht="18" customHeight="1">
      <c r="A60" s="2"/>
    </row>
    <row r="61" spans="1:1" ht="18" customHeight="1">
      <c r="A61" s="2"/>
    </row>
    <row r="62" spans="1:1" ht="18" customHeight="1">
      <c r="A62" s="2"/>
    </row>
    <row r="63" spans="1:1" ht="18" customHeight="1">
      <c r="A63" s="2"/>
    </row>
    <row r="64" spans="1:1" ht="18" customHeight="1">
      <c r="A64" s="2"/>
    </row>
    <row r="65" spans="1:1" ht="18" customHeight="1">
      <c r="A65" s="2"/>
    </row>
    <row r="66" spans="1:1" ht="18" customHeight="1">
      <c r="A66" s="2"/>
    </row>
    <row r="67" spans="1:1" ht="18" customHeight="1">
      <c r="A67" s="2"/>
    </row>
    <row r="68" spans="1:1" ht="18" customHeight="1">
      <c r="A68" s="2"/>
    </row>
    <row r="69" spans="1:1" ht="18" customHeight="1">
      <c r="A69" s="2"/>
    </row>
    <row r="70" spans="1:1" ht="18" customHeight="1">
      <c r="A70" s="2"/>
    </row>
    <row r="71" spans="1:1" ht="18" customHeight="1">
      <c r="A71" s="2"/>
    </row>
    <row r="72" spans="1:1" ht="18" customHeight="1">
      <c r="A72" s="2"/>
    </row>
    <row r="73" spans="1:1" ht="18" customHeight="1">
      <c r="A73" s="2"/>
    </row>
    <row r="74" spans="1:1" ht="18" customHeight="1">
      <c r="A74" s="2"/>
    </row>
    <row r="75" spans="1:1" ht="18" customHeight="1">
      <c r="A75" s="2"/>
    </row>
    <row r="76" spans="1:1" ht="18" customHeight="1">
      <c r="A76" s="2"/>
    </row>
    <row r="77" spans="1:1" ht="18" customHeight="1">
      <c r="A77" s="2"/>
    </row>
    <row r="78" spans="1:1" ht="18" customHeight="1">
      <c r="A78" s="2"/>
    </row>
    <row r="79" spans="1:1" ht="18" customHeight="1">
      <c r="A79" s="2"/>
    </row>
    <row r="80" spans="1:1" ht="18" customHeight="1">
      <c r="A80" s="2"/>
    </row>
    <row r="81" spans="1:1" ht="18" customHeight="1">
      <c r="A81" s="2"/>
    </row>
    <row r="82" spans="1:1" ht="18" customHeight="1">
      <c r="A82" s="2"/>
    </row>
    <row r="83" spans="1:1" ht="18" customHeight="1">
      <c r="A83" s="2"/>
    </row>
    <row r="84" spans="1:1" ht="18" customHeight="1">
      <c r="A84" s="2"/>
    </row>
    <row r="85" spans="1:1" ht="18" customHeight="1">
      <c r="A85" s="2"/>
    </row>
    <row r="86" spans="1:1" ht="18" customHeight="1">
      <c r="A86" s="2"/>
    </row>
    <row r="87" spans="1:1" ht="18" customHeight="1">
      <c r="A87" s="2"/>
    </row>
    <row r="88" spans="1:1" ht="18" customHeight="1">
      <c r="A88" s="2"/>
    </row>
    <row r="89" spans="1:1" ht="18" customHeight="1">
      <c r="A89" s="2"/>
    </row>
    <row r="90" spans="1:1" ht="18" customHeight="1">
      <c r="A90" s="2"/>
    </row>
    <row r="91" spans="1:1" ht="18" customHeight="1">
      <c r="A91" s="2"/>
    </row>
    <row r="92" spans="1:1" ht="18" customHeight="1">
      <c r="A92" s="2"/>
    </row>
    <row r="93" spans="1:1" ht="18" customHeight="1">
      <c r="A93" s="2"/>
    </row>
    <row r="94" spans="1:1" ht="18" customHeight="1">
      <c r="A94" s="2"/>
    </row>
    <row r="95" spans="1:1" ht="18" customHeight="1">
      <c r="A95" s="2"/>
    </row>
    <row r="96" spans="1:1" ht="18" customHeight="1">
      <c r="A96" s="2"/>
    </row>
    <row r="97" spans="1:1" ht="18" customHeight="1">
      <c r="A97" s="2"/>
    </row>
    <row r="98" spans="1:1" ht="18" customHeight="1">
      <c r="A98" s="2"/>
    </row>
    <row r="99" spans="1:1" ht="18" customHeight="1">
      <c r="A99" s="2"/>
    </row>
    <row r="100" spans="1:1" ht="18" customHeight="1">
      <c r="A100" s="2"/>
    </row>
    <row r="101" spans="1:1" ht="18" customHeight="1">
      <c r="A101" s="2"/>
    </row>
    <row r="102" spans="1:1" ht="18" customHeight="1">
      <c r="A102" s="2"/>
    </row>
    <row r="103" spans="1:1" ht="18" customHeight="1">
      <c r="A103" s="2"/>
    </row>
    <row r="104" spans="1:1" ht="18" customHeight="1">
      <c r="A104" s="2"/>
    </row>
    <row r="105" spans="1:1" ht="18" customHeight="1">
      <c r="A105" s="2"/>
    </row>
    <row r="106" spans="1:1" ht="18" customHeight="1">
      <c r="A106" s="2"/>
    </row>
    <row r="107" spans="1:1" ht="18" customHeight="1">
      <c r="A107" s="2"/>
    </row>
    <row r="108" spans="1:1" ht="18" customHeight="1">
      <c r="A108" s="2"/>
    </row>
    <row r="109" spans="1:1" ht="18" customHeight="1">
      <c r="A109" s="2"/>
    </row>
    <row r="110" spans="1:1" ht="18" customHeight="1">
      <c r="A110" s="2"/>
    </row>
    <row r="111" spans="1:1" ht="18" customHeight="1">
      <c r="A111" s="2"/>
    </row>
    <row r="112" spans="1:1" ht="18" customHeight="1">
      <c r="A112" s="2"/>
    </row>
    <row r="113" spans="1:1" ht="18" customHeight="1">
      <c r="A113" s="2"/>
    </row>
    <row r="114" spans="1:1" ht="18" customHeight="1">
      <c r="A114" s="2"/>
    </row>
    <row r="115" spans="1:1" ht="18" customHeight="1">
      <c r="A115" s="2"/>
    </row>
    <row r="116" spans="1:1" ht="18" customHeight="1">
      <c r="A116" s="2"/>
    </row>
    <row r="117" spans="1:1" ht="18" customHeight="1">
      <c r="A117" s="2"/>
    </row>
    <row r="118" spans="1:1" ht="18" customHeight="1">
      <c r="A118" s="2"/>
    </row>
    <row r="119" spans="1:1" ht="18" customHeight="1">
      <c r="A119" s="2"/>
    </row>
    <row r="120" spans="1:1" ht="18" customHeight="1">
      <c r="A120" s="2"/>
    </row>
    <row r="121" spans="1:1" ht="18" customHeight="1">
      <c r="A121" s="2"/>
    </row>
    <row r="122" spans="1:1" ht="18" customHeight="1">
      <c r="A122" s="2"/>
    </row>
    <row r="123" spans="1:1" ht="18" customHeight="1">
      <c r="A123" s="2"/>
    </row>
    <row r="124" spans="1:1" ht="18" customHeight="1">
      <c r="A124" s="2"/>
    </row>
    <row r="125" spans="1:1" ht="18" customHeight="1">
      <c r="A125" s="2"/>
    </row>
    <row r="126" spans="1:1" ht="18" customHeight="1">
      <c r="A126" s="2"/>
    </row>
    <row r="127" spans="1:1" ht="18" customHeight="1">
      <c r="A127" s="2"/>
    </row>
    <row r="128" spans="1:1" ht="18" customHeight="1">
      <c r="A128" s="2"/>
    </row>
    <row r="129" spans="1:1" ht="18" customHeight="1">
      <c r="A129" s="2"/>
    </row>
    <row r="130" spans="1:1" ht="18" customHeight="1">
      <c r="A130" s="2"/>
    </row>
    <row r="131" spans="1:1" ht="18" customHeight="1">
      <c r="A131" s="2"/>
    </row>
    <row r="132" spans="1:1" ht="18" customHeight="1">
      <c r="A132" s="2"/>
    </row>
    <row r="133" spans="1:1" ht="18" customHeight="1">
      <c r="A133" s="2"/>
    </row>
    <row r="134" spans="1:1" ht="18" customHeight="1">
      <c r="A134" s="2"/>
    </row>
    <row r="135" spans="1:1" ht="18" customHeight="1">
      <c r="A135" s="2"/>
    </row>
    <row r="136" spans="1:1" ht="18" customHeight="1">
      <c r="A136" s="2"/>
    </row>
    <row r="137" spans="1:1" ht="18" customHeight="1">
      <c r="A137" s="2"/>
    </row>
    <row r="138" spans="1:1" ht="18" customHeight="1">
      <c r="A138" s="2"/>
    </row>
    <row r="139" spans="1:1" ht="18" customHeight="1">
      <c r="A139" s="2"/>
    </row>
    <row r="140" spans="1:1" ht="18" customHeight="1">
      <c r="A140" s="2"/>
    </row>
    <row r="141" spans="1:1" ht="18" customHeight="1">
      <c r="A141" s="2"/>
    </row>
    <row r="142" spans="1:1" ht="18" customHeight="1">
      <c r="A142" s="2"/>
    </row>
    <row r="143" spans="1:1" ht="18" customHeight="1">
      <c r="A143" s="2"/>
    </row>
    <row r="144" spans="1:1" ht="18" customHeight="1">
      <c r="A144" s="2"/>
    </row>
    <row r="145" spans="1:1" ht="18" customHeight="1">
      <c r="A145" s="2"/>
    </row>
    <row r="146" spans="1:1" ht="18" customHeight="1">
      <c r="A146" s="2"/>
    </row>
    <row r="147" spans="1:1" ht="18" customHeight="1">
      <c r="A147" s="2"/>
    </row>
    <row r="148" spans="1:1" ht="18" customHeight="1">
      <c r="A148" s="2"/>
    </row>
    <row r="149" spans="1:1" ht="18" customHeight="1">
      <c r="A149" s="2"/>
    </row>
    <row r="150" spans="1:1" ht="18" customHeight="1">
      <c r="A150" s="2"/>
    </row>
    <row r="151" spans="1:1" ht="18" customHeight="1">
      <c r="A151" s="2"/>
    </row>
    <row r="152" spans="1:1" ht="18" customHeight="1">
      <c r="A152" s="2"/>
    </row>
    <row r="153" spans="1:1" ht="18" customHeight="1">
      <c r="A153" s="2"/>
    </row>
    <row r="154" spans="1:1" ht="18" customHeight="1">
      <c r="A154" s="2"/>
    </row>
    <row r="155" spans="1:1" ht="18" customHeight="1">
      <c r="A155" s="2"/>
    </row>
    <row r="156" spans="1:1" ht="18" customHeight="1">
      <c r="A156" s="2"/>
    </row>
    <row r="157" spans="1:1" ht="18" customHeight="1">
      <c r="A157" s="2"/>
    </row>
    <row r="158" spans="1:1" ht="18" customHeight="1">
      <c r="A158" s="2"/>
    </row>
    <row r="159" spans="1:1" ht="18" customHeight="1">
      <c r="A159" s="2"/>
    </row>
    <row r="160" spans="1:1" ht="18" customHeight="1">
      <c r="A160" s="2"/>
    </row>
    <row r="161" spans="1:1" ht="18" customHeight="1">
      <c r="A161" s="2"/>
    </row>
    <row r="162" spans="1:1" ht="18" customHeight="1">
      <c r="A162" s="2"/>
    </row>
    <row r="163" spans="1:1" ht="18" customHeight="1">
      <c r="A163" s="2"/>
    </row>
    <row r="164" spans="1:1" ht="18" customHeight="1">
      <c r="A164" s="2"/>
    </row>
    <row r="165" spans="1:1" ht="18" customHeight="1">
      <c r="A165" s="2"/>
    </row>
    <row r="166" spans="1:1" ht="18" customHeight="1">
      <c r="A166" s="2"/>
    </row>
    <row r="167" spans="1:1" ht="18" customHeight="1">
      <c r="A167" s="2"/>
    </row>
    <row r="168" spans="1:1" ht="18" customHeight="1">
      <c r="A168" s="2"/>
    </row>
    <row r="169" spans="1:1" ht="18" customHeight="1">
      <c r="A169" s="2"/>
    </row>
    <row r="170" spans="1:1" ht="18" customHeight="1">
      <c r="A170" s="2"/>
    </row>
    <row r="171" spans="1:1" ht="18" customHeight="1">
      <c r="A171" s="2"/>
    </row>
    <row r="172" spans="1:1" ht="18" customHeight="1">
      <c r="A172" s="2"/>
    </row>
    <row r="173" spans="1:1" ht="18" customHeight="1">
      <c r="A173" s="2"/>
    </row>
    <row r="174" spans="1:1" ht="18" customHeight="1">
      <c r="A174" s="2"/>
    </row>
    <row r="175" spans="1:1" ht="18" customHeight="1">
      <c r="A175" s="2"/>
    </row>
    <row r="176" spans="1:1" ht="18" customHeight="1">
      <c r="A176" s="2"/>
    </row>
    <row r="177" spans="1:1" ht="18" customHeight="1">
      <c r="A177" s="2"/>
    </row>
    <row r="178" spans="1:1" ht="18" customHeight="1">
      <c r="A178" s="2"/>
    </row>
    <row r="179" spans="1:1" ht="18" customHeight="1">
      <c r="A179" s="2"/>
    </row>
    <row r="180" spans="1:1" ht="18" customHeight="1">
      <c r="A180" s="2"/>
    </row>
    <row r="181" spans="1:1" ht="18" customHeight="1">
      <c r="A181" s="2"/>
    </row>
    <row r="182" spans="1:1" ht="18" customHeight="1">
      <c r="A182" s="2"/>
    </row>
    <row r="183" spans="1:1" ht="18" customHeight="1">
      <c r="A183" s="2"/>
    </row>
    <row r="184" spans="1:1" ht="18" customHeight="1">
      <c r="A184" s="2"/>
    </row>
    <row r="185" spans="1:1" ht="18" customHeight="1">
      <c r="A185" s="2"/>
    </row>
    <row r="186" spans="1:1" ht="18" customHeight="1">
      <c r="A186" s="2"/>
    </row>
    <row r="187" spans="1:1" ht="18" customHeight="1">
      <c r="A187" s="2"/>
    </row>
    <row r="188" spans="1:1" ht="18" customHeight="1">
      <c r="A188" s="2"/>
    </row>
    <row r="189" spans="1:1" ht="18" customHeight="1">
      <c r="A189" s="2"/>
    </row>
    <row r="190" spans="1:1" ht="18" customHeight="1">
      <c r="A190" s="2"/>
    </row>
    <row r="191" spans="1:1" ht="18" customHeight="1">
      <c r="A191" s="2"/>
    </row>
    <row r="192" spans="1:1" ht="18" customHeight="1">
      <c r="A192" s="2"/>
    </row>
    <row r="193" spans="1:1" ht="18" customHeight="1">
      <c r="A193" s="2"/>
    </row>
    <row r="194" spans="1:1" ht="18" customHeight="1">
      <c r="A194" s="2"/>
    </row>
    <row r="195" spans="1:1" ht="18" customHeight="1">
      <c r="A195" s="2"/>
    </row>
    <row r="196" spans="1:1" ht="18" customHeight="1">
      <c r="A196" s="2"/>
    </row>
    <row r="197" spans="1:1" ht="18" customHeight="1">
      <c r="A197" s="2"/>
    </row>
    <row r="198" spans="1:1" ht="18" customHeight="1">
      <c r="A198" s="2"/>
    </row>
    <row r="199" spans="1:1" ht="18" customHeight="1">
      <c r="A199" s="2"/>
    </row>
    <row r="200" spans="1:1" ht="18" customHeight="1">
      <c r="A200" s="2"/>
    </row>
    <row r="201" spans="1:1" ht="18" customHeight="1">
      <c r="A201" s="2"/>
    </row>
    <row r="202" spans="1:1" ht="18" customHeight="1">
      <c r="A202" s="2"/>
    </row>
    <row r="203" spans="1:1" ht="18" customHeight="1">
      <c r="A203" s="2"/>
    </row>
    <row r="204" spans="1:1" ht="18" customHeight="1">
      <c r="A204" s="2"/>
    </row>
    <row r="205" spans="1:1" ht="18" customHeight="1">
      <c r="A205" s="2"/>
    </row>
    <row r="206" spans="1:1" ht="18" customHeight="1">
      <c r="A206" s="2"/>
    </row>
    <row r="207" spans="1:1" ht="18" customHeight="1">
      <c r="A207" s="2"/>
    </row>
    <row r="208" spans="1:1" ht="18" customHeight="1">
      <c r="A208" s="2"/>
    </row>
    <row r="209" spans="1:1" ht="18" customHeight="1">
      <c r="A209" s="2"/>
    </row>
    <row r="210" spans="1:1" ht="18" customHeight="1">
      <c r="A210" s="2"/>
    </row>
    <row r="211" spans="1:1" ht="18" customHeight="1">
      <c r="A211" s="2"/>
    </row>
    <row r="212" spans="1:1" ht="18" customHeight="1">
      <c r="A212" s="2"/>
    </row>
    <row r="213" spans="1:1" ht="18" customHeight="1">
      <c r="A213" s="2"/>
    </row>
    <row r="214" spans="1:1" ht="18" customHeight="1">
      <c r="A214" s="2"/>
    </row>
    <row r="215" spans="1:1" ht="18" customHeight="1">
      <c r="A215" s="2"/>
    </row>
    <row r="216" spans="1:1" ht="18" customHeight="1">
      <c r="A216" s="2"/>
    </row>
    <row r="217" spans="1:1" ht="18" customHeight="1">
      <c r="A217" s="2"/>
    </row>
    <row r="218" spans="1:1" ht="18" customHeight="1">
      <c r="A218" s="2"/>
    </row>
    <row r="219" spans="1:1" ht="18" customHeight="1">
      <c r="A219" s="2"/>
    </row>
    <row r="220" spans="1:1" ht="18" customHeight="1">
      <c r="A220" s="2"/>
    </row>
    <row r="221" spans="1:1" ht="18" customHeight="1">
      <c r="A221" s="2"/>
    </row>
    <row r="222" spans="1:1" ht="18" customHeight="1">
      <c r="A222" s="2"/>
    </row>
    <row r="223" spans="1:1" ht="18" customHeight="1">
      <c r="A223" s="2"/>
    </row>
    <row r="224" spans="1:1" ht="18" customHeight="1">
      <c r="A224" s="2"/>
    </row>
    <row r="225" spans="1:1" ht="18" customHeight="1">
      <c r="A225" s="2"/>
    </row>
    <row r="226" spans="1:1" ht="18" customHeight="1">
      <c r="A226" s="2"/>
    </row>
    <row r="227" spans="1:1" ht="18" customHeight="1">
      <c r="A227" s="2"/>
    </row>
    <row r="228" spans="1:1" ht="18" customHeight="1">
      <c r="A228" s="2"/>
    </row>
    <row r="229" spans="1:1" ht="18" customHeight="1">
      <c r="A229" s="2"/>
    </row>
    <row r="230" spans="1:1" ht="18" customHeight="1">
      <c r="A230" s="2"/>
    </row>
    <row r="231" spans="1:1" ht="18" customHeight="1">
      <c r="A231" s="2"/>
    </row>
    <row r="232" spans="1:1" ht="18" customHeight="1">
      <c r="A232" s="2"/>
    </row>
    <row r="233" spans="1:1" ht="18" customHeight="1">
      <c r="A233" s="2"/>
    </row>
    <row r="234" spans="1:1" ht="18" customHeight="1">
      <c r="A234" s="2"/>
    </row>
    <row r="235" spans="1:1" ht="18" customHeight="1">
      <c r="A235" s="2"/>
    </row>
    <row r="236" spans="1:1" ht="18" customHeight="1">
      <c r="A236" s="2"/>
    </row>
    <row r="237" spans="1:1" ht="18" customHeight="1">
      <c r="A237" s="2"/>
    </row>
    <row r="238" spans="1:1" ht="18" customHeight="1">
      <c r="A238" s="2"/>
    </row>
    <row r="239" spans="1:1" ht="18" customHeight="1">
      <c r="A239" s="2"/>
    </row>
    <row r="240" spans="1:1" ht="18" customHeight="1">
      <c r="A240" s="2"/>
    </row>
    <row r="241" spans="1:1" ht="18" customHeight="1">
      <c r="A241" s="2"/>
    </row>
    <row r="242" spans="1:1" ht="18" customHeight="1">
      <c r="A242" s="2"/>
    </row>
    <row r="243" spans="1:1" ht="18" customHeight="1">
      <c r="A243" s="2"/>
    </row>
    <row r="244" spans="1:1" ht="18" customHeight="1">
      <c r="A244" s="2"/>
    </row>
    <row r="245" spans="1:1" ht="18" customHeight="1">
      <c r="A245" s="2"/>
    </row>
    <row r="246" spans="1:1" ht="18" customHeight="1">
      <c r="A246" s="2"/>
    </row>
    <row r="247" spans="1:1" ht="18" customHeight="1">
      <c r="A247" s="2"/>
    </row>
    <row r="248" spans="1:1" ht="18" customHeight="1">
      <c r="A248" s="2"/>
    </row>
    <row r="249" spans="1:1" ht="18" customHeight="1">
      <c r="A249" s="2"/>
    </row>
    <row r="250" spans="1:1" ht="18" customHeight="1">
      <c r="A250" s="2"/>
    </row>
    <row r="251" spans="1:1" ht="18" customHeight="1">
      <c r="A251" s="2"/>
    </row>
    <row r="252" spans="1:1" ht="18" customHeight="1">
      <c r="A252" s="2"/>
    </row>
    <row r="253" spans="1:1" ht="18" customHeight="1">
      <c r="A253" s="2"/>
    </row>
    <row r="254" spans="1:1" ht="18" customHeight="1">
      <c r="A254" s="2"/>
    </row>
    <row r="255" spans="1:1" ht="18" customHeight="1">
      <c r="A255" s="2"/>
    </row>
    <row r="256" spans="1:1" ht="18" customHeight="1">
      <c r="A256" s="2"/>
    </row>
    <row r="257" spans="1:1" ht="18" customHeight="1">
      <c r="A257" s="2"/>
    </row>
    <row r="258" spans="1:1" ht="18" customHeight="1">
      <c r="A258" s="2"/>
    </row>
    <row r="259" spans="1:1" ht="18" customHeight="1">
      <c r="A259" s="2"/>
    </row>
    <row r="260" spans="1:1" ht="18" customHeight="1">
      <c r="A260" s="2"/>
    </row>
    <row r="261" spans="1:1" ht="18" customHeight="1">
      <c r="A261" s="2"/>
    </row>
    <row r="262" spans="1:1" ht="18" customHeight="1">
      <c r="A262" s="2"/>
    </row>
    <row r="263" spans="1:1" ht="18" customHeight="1">
      <c r="A263" s="2"/>
    </row>
    <row r="264" spans="1:1" ht="18" customHeight="1">
      <c r="A264" s="2"/>
    </row>
    <row r="265" spans="1:1" ht="18" customHeight="1">
      <c r="A265" s="2"/>
    </row>
    <row r="266" spans="1:1" ht="18" customHeight="1">
      <c r="A266" s="2"/>
    </row>
    <row r="267" spans="1:1" ht="18" customHeight="1">
      <c r="A267" s="2"/>
    </row>
    <row r="268" spans="1:1" ht="18" customHeight="1">
      <c r="A268" s="2"/>
    </row>
    <row r="269" spans="1:1" ht="18" customHeight="1">
      <c r="A269" s="2"/>
    </row>
    <row r="270" spans="1:1" ht="18" customHeight="1">
      <c r="A270" s="2"/>
    </row>
    <row r="271" spans="1:1" ht="18" customHeight="1">
      <c r="A271" s="2"/>
    </row>
    <row r="272" spans="1:1" ht="18" customHeight="1">
      <c r="A272" s="2"/>
    </row>
    <row r="273" spans="1:1" ht="18" customHeight="1">
      <c r="A273" s="2"/>
    </row>
    <row r="274" spans="1:1" ht="18" customHeight="1">
      <c r="A274" s="2"/>
    </row>
    <row r="275" spans="1:1" ht="18" customHeight="1">
      <c r="A275" s="2"/>
    </row>
    <row r="276" spans="1:1" ht="18" customHeight="1">
      <c r="A276" s="2"/>
    </row>
    <row r="277" spans="1:1" ht="18" customHeight="1">
      <c r="A277" s="2"/>
    </row>
    <row r="278" spans="1:1" ht="18" customHeight="1">
      <c r="A278" s="2"/>
    </row>
    <row r="279" spans="1:1" ht="18" customHeight="1">
      <c r="A279" s="2"/>
    </row>
    <row r="280" spans="1:1" ht="18" customHeight="1">
      <c r="A280" s="2"/>
    </row>
    <row r="281" spans="1:1" ht="18" customHeight="1">
      <c r="A281" s="2"/>
    </row>
    <row r="282" spans="1:1" ht="18" customHeight="1">
      <c r="A282" s="2"/>
    </row>
    <row r="283" spans="1:1" ht="18" customHeight="1">
      <c r="A283" s="2"/>
    </row>
    <row r="284" spans="1:1" ht="18" customHeight="1">
      <c r="A284" s="2"/>
    </row>
    <row r="285" spans="1:1" ht="18" customHeight="1">
      <c r="A285" s="2"/>
    </row>
    <row r="286" spans="1:1" ht="18" customHeight="1">
      <c r="A286" s="2"/>
    </row>
    <row r="287" spans="1:1" ht="18" customHeight="1">
      <c r="A287" s="2"/>
    </row>
    <row r="288" spans="1:1" ht="18" customHeight="1">
      <c r="A288" s="2"/>
    </row>
    <row r="289" spans="1:1" ht="18" customHeight="1">
      <c r="A289" s="2"/>
    </row>
    <row r="290" spans="1:1" ht="18" customHeight="1">
      <c r="A290" s="2"/>
    </row>
    <row r="291" spans="1:1" ht="18" customHeight="1">
      <c r="A291" s="2"/>
    </row>
    <row r="292" spans="1:1" ht="18" customHeight="1">
      <c r="A292" s="2"/>
    </row>
    <row r="293" spans="1:1" ht="18" customHeight="1">
      <c r="A293" s="2"/>
    </row>
    <row r="294" spans="1:1" ht="18" customHeight="1">
      <c r="A294" s="2"/>
    </row>
    <row r="295" spans="1:1" ht="18" customHeight="1">
      <c r="A295" s="2"/>
    </row>
    <row r="296" spans="1:1" ht="18" customHeight="1">
      <c r="A296" s="2"/>
    </row>
    <row r="297" spans="1:1" ht="18" customHeight="1">
      <c r="A297" s="2"/>
    </row>
    <row r="298" spans="1:1" ht="18" customHeight="1">
      <c r="A298" s="2"/>
    </row>
    <row r="299" spans="1:1" ht="18" customHeight="1">
      <c r="A299" s="2"/>
    </row>
    <row r="300" spans="1:1" ht="18" customHeight="1">
      <c r="A300" s="2"/>
    </row>
    <row r="301" spans="1:1" ht="18" customHeight="1">
      <c r="A301" s="2"/>
    </row>
    <row r="302" spans="1:1" ht="18" customHeight="1">
      <c r="A302" s="2"/>
    </row>
    <row r="303" spans="1:1" ht="18" customHeight="1">
      <c r="A303" s="2"/>
    </row>
    <row r="304" spans="1:1" ht="18" customHeight="1">
      <c r="A304" s="2"/>
    </row>
    <row r="305" spans="1:1" ht="18" customHeight="1">
      <c r="A305" s="2"/>
    </row>
    <row r="306" spans="1:1" ht="18" customHeight="1">
      <c r="A306" s="2"/>
    </row>
    <row r="307" spans="1:1" ht="18" customHeight="1">
      <c r="A307" s="2"/>
    </row>
    <row r="308" spans="1:1" ht="18" customHeight="1">
      <c r="A308" s="2"/>
    </row>
    <row r="309" spans="1:1" ht="18" customHeight="1">
      <c r="A309" s="2"/>
    </row>
    <row r="310" spans="1:1" ht="18" customHeight="1">
      <c r="A310" s="2"/>
    </row>
    <row r="311" spans="1:1" ht="18" customHeight="1">
      <c r="A311" s="2"/>
    </row>
    <row r="312" spans="1:1" ht="18" customHeight="1">
      <c r="A312" s="2"/>
    </row>
    <row r="313" spans="1:1" ht="18" customHeight="1">
      <c r="A313" s="2"/>
    </row>
    <row r="314" spans="1:1" ht="18" customHeight="1">
      <c r="A314" s="2"/>
    </row>
    <row r="315" spans="1:1" ht="18" customHeight="1">
      <c r="A315" s="2"/>
    </row>
    <row r="316" spans="1:1" ht="18" customHeight="1">
      <c r="A316" s="2"/>
    </row>
    <row r="317" spans="1:1" ht="18" customHeight="1">
      <c r="A317" s="2"/>
    </row>
    <row r="318" spans="1:1" ht="18" customHeight="1">
      <c r="A318" s="2"/>
    </row>
    <row r="319" spans="1:1" ht="18" customHeight="1">
      <c r="A319" s="2"/>
    </row>
    <row r="320" spans="1:1" ht="18" customHeight="1">
      <c r="A320" s="2"/>
    </row>
    <row r="321" spans="1:1" ht="18" customHeight="1">
      <c r="A321" s="2"/>
    </row>
    <row r="322" spans="1:1" ht="18" customHeight="1">
      <c r="A322" s="2"/>
    </row>
    <row r="323" spans="1:1" ht="18" customHeight="1">
      <c r="A323" s="2"/>
    </row>
    <row r="324" spans="1:1" ht="18" customHeight="1">
      <c r="A324" s="2"/>
    </row>
    <row r="325" spans="1:1" ht="18" customHeight="1">
      <c r="A325" s="2"/>
    </row>
    <row r="326" spans="1:1" ht="18" customHeight="1">
      <c r="A326" s="2"/>
    </row>
    <row r="327" spans="1:1" ht="18" customHeight="1">
      <c r="A327" s="2"/>
    </row>
    <row r="328" spans="1:1" ht="18" customHeight="1">
      <c r="A328" s="2"/>
    </row>
    <row r="329" spans="1:1" ht="18" customHeight="1">
      <c r="A329" s="2"/>
    </row>
    <row r="330" spans="1:1" ht="18" customHeight="1">
      <c r="A330" s="2"/>
    </row>
    <row r="331" spans="1:1" ht="18" customHeight="1">
      <c r="A331" s="2"/>
    </row>
    <row r="332" spans="1:1" ht="18" customHeight="1">
      <c r="A332" s="2"/>
    </row>
    <row r="333" spans="1:1" ht="18" customHeight="1">
      <c r="A333" s="2"/>
    </row>
    <row r="334" spans="1:1" ht="18" customHeight="1">
      <c r="A334" s="2"/>
    </row>
    <row r="335" spans="1:1" ht="18" customHeight="1">
      <c r="A335" s="2"/>
    </row>
    <row r="336" spans="1:1" ht="18" customHeight="1">
      <c r="A336" s="2"/>
    </row>
    <row r="337" spans="1:1" ht="18" customHeight="1">
      <c r="A337" s="2"/>
    </row>
    <row r="338" spans="1:1" ht="18" customHeight="1">
      <c r="A338" s="2"/>
    </row>
    <row r="339" spans="1:1" ht="18" customHeight="1">
      <c r="A339" s="2"/>
    </row>
    <row r="340" spans="1:1" ht="18" customHeight="1">
      <c r="A340" s="2"/>
    </row>
    <row r="341" spans="1:1" ht="18" customHeight="1">
      <c r="A341" s="2"/>
    </row>
    <row r="342" spans="1:1" ht="18" customHeight="1">
      <c r="A342" s="2"/>
    </row>
    <row r="343" spans="1:1" ht="18" customHeight="1">
      <c r="A343" s="2"/>
    </row>
    <row r="344" spans="1:1" ht="18" customHeight="1">
      <c r="A344" s="2"/>
    </row>
    <row r="345" spans="1:1" ht="18" customHeight="1">
      <c r="A345" s="2"/>
    </row>
    <row r="346" spans="1:1" ht="18" customHeight="1">
      <c r="A346" s="2"/>
    </row>
    <row r="347" spans="1:1" ht="18" customHeight="1">
      <c r="A347" s="2"/>
    </row>
    <row r="348" spans="1:1" ht="18" customHeight="1">
      <c r="A348" s="2"/>
    </row>
    <row r="349" spans="1:1" ht="18" customHeight="1">
      <c r="A349" s="2"/>
    </row>
    <row r="350" spans="1:1" ht="18" customHeight="1">
      <c r="A350" s="2"/>
    </row>
    <row r="351" spans="1:1" ht="18" customHeight="1">
      <c r="A351" s="2"/>
    </row>
    <row r="352" spans="1:1" ht="18" customHeight="1">
      <c r="A352" s="2"/>
    </row>
    <row r="353" spans="1:1" ht="18" customHeight="1">
      <c r="A353" s="2"/>
    </row>
    <row r="354" spans="1:1" ht="18" customHeight="1">
      <c r="A354" s="2"/>
    </row>
    <row r="355" spans="1:1" ht="18" customHeight="1">
      <c r="A355" s="2"/>
    </row>
    <row r="356" spans="1:1" ht="18" customHeight="1">
      <c r="A356" s="2"/>
    </row>
    <row r="357" spans="1:1" ht="18" customHeight="1">
      <c r="A357" s="2"/>
    </row>
    <row r="358" spans="1:1" ht="18" customHeight="1">
      <c r="A358" s="2"/>
    </row>
    <row r="359" spans="1:1" ht="18" customHeight="1">
      <c r="A359" s="2"/>
    </row>
    <row r="360" spans="1:1" ht="18" customHeight="1">
      <c r="A360" s="2"/>
    </row>
    <row r="361" spans="1:1" ht="18" customHeight="1">
      <c r="A361" s="2"/>
    </row>
    <row r="362" spans="1:1" ht="18" customHeight="1">
      <c r="A362" s="2"/>
    </row>
    <row r="363" spans="1:1" ht="18" customHeight="1">
      <c r="A363" s="2"/>
    </row>
    <row r="364" spans="1:1" ht="18" customHeight="1">
      <c r="A364" s="2"/>
    </row>
    <row r="365" spans="1:1" ht="18" customHeight="1">
      <c r="A365" s="2"/>
    </row>
    <row r="366" spans="1:1" ht="18" customHeight="1">
      <c r="A366" s="2"/>
    </row>
    <row r="367" spans="1:1" ht="18" customHeight="1">
      <c r="A367" s="2"/>
    </row>
    <row r="368" spans="1:1" ht="18" customHeight="1">
      <c r="A368" s="2"/>
    </row>
    <row r="369" spans="1:1" ht="18" customHeight="1">
      <c r="A369" s="2"/>
    </row>
    <row r="370" spans="1:1" ht="18" customHeight="1">
      <c r="A370" s="2"/>
    </row>
    <row r="371" spans="1:1" ht="18" customHeight="1">
      <c r="A371" s="2"/>
    </row>
    <row r="372" spans="1:1" ht="18" customHeight="1">
      <c r="A372" s="2"/>
    </row>
    <row r="373" spans="1:1" ht="18" customHeight="1">
      <c r="A373" s="2"/>
    </row>
    <row r="374" spans="1:1" ht="18" customHeight="1">
      <c r="A374" s="2"/>
    </row>
    <row r="375" spans="1:1" ht="18" customHeight="1">
      <c r="A375" s="2"/>
    </row>
    <row r="376" spans="1:1" ht="18" customHeight="1">
      <c r="A376" s="2"/>
    </row>
    <row r="377" spans="1:1" ht="18" customHeight="1">
      <c r="A377" s="2"/>
    </row>
    <row r="378" spans="1:1" ht="18" customHeight="1">
      <c r="A378" s="2"/>
    </row>
    <row r="379" spans="1:1" ht="18" customHeight="1">
      <c r="A379" s="2"/>
    </row>
    <row r="380" spans="1:1" ht="18" customHeight="1">
      <c r="A380" s="2"/>
    </row>
    <row r="381" spans="1:1" ht="18" customHeight="1">
      <c r="A381" s="2"/>
    </row>
    <row r="382" spans="1:1" ht="18" customHeight="1">
      <c r="A382" s="2"/>
    </row>
    <row r="383" spans="1:1" ht="18" customHeight="1">
      <c r="A383" s="2"/>
    </row>
    <row r="384" spans="1:1" ht="18" customHeight="1">
      <c r="A384" s="2"/>
    </row>
    <row r="385" spans="1:1" ht="18" customHeight="1">
      <c r="A385" s="2"/>
    </row>
    <row r="386" spans="1:1" ht="18" customHeight="1">
      <c r="A386" s="2"/>
    </row>
    <row r="387" spans="1:1" ht="18" customHeight="1">
      <c r="A387" s="2"/>
    </row>
    <row r="388" spans="1:1" ht="18" customHeight="1">
      <c r="A388" s="2"/>
    </row>
    <row r="389" spans="1:1" ht="18" customHeight="1">
      <c r="A389" s="2"/>
    </row>
    <row r="390" spans="1:1" ht="18" customHeight="1">
      <c r="A390" s="2"/>
    </row>
    <row r="391" spans="1:1" ht="18" customHeight="1">
      <c r="A391" s="2"/>
    </row>
    <row r="392" spans="1:1" ht="18" customHeight="1">
      <c r="A392" s="2"/>
    </row>
    <row r="393" spans="1:1" ht="18" customHeight="1">
      <c r="A393" s="2"/>
    </row>
    <row r="394" spans="1:1" ht="18" customHeight="1">
      <c r="A394" s="2"/>
    </row>
    <row r="395" spans="1:1" ht="18" customHeight="1">
      <c r="A395" s="2"/>
    </row>
    <row r="396" spans="1:1" ht="18" customHeight="1">
      <c r="A396" s="2"/>
    </row>
    <row r="397" spans="1:1" ht="18" customHeight="1">
      <c r="A397" s="2"/>
    </row>
    <row r="398" spans="1:1" ht="18" customHeight="1">
      <c r="A398" s="2"/>
    </row>
    <row r="399" spans="1:1" ht="18" customHeight="1">
      <c r="A399" s="2"/>
    </row>
    <row r="400" spans="1:1" ht="18" customHeight="1">
      <c r="A400" s="2"/>
    </row>
    <row r="401" spans="1:1" ht="18" customHeight="1">
      <c r="A401" s="2"/>
    </row>
    <row r="402" spans="1:1" ht="18" customHeight="1">
      <c r="A402" s="2"/>
    </row>
    <row r="403" spans="1:1" ht="18" customHeight="1">
      <c r="A403" s="2"/>
    </row>
    <row r="404" spans="1:1" ht="18" customHeight="1">
      <c r="A404" s="2"/>
    </row>
    <row r="405" spans="1:1" ht="18" customHeight="1">
      <c r="A405" s="2"/>
    </row>
    <row r="406" spans="1:1" ht="18" customHeight="1">
      <c r="A406" s="2"/>
    </row>
    <row r="407" spans="1:1" ht="18" customHeight="1">
      <c r="A407" s="2"/>
    </row>
    <row r="408" spans="1:1" ht="18" customHeight="1">
      <c r="A408" s="2"/>
    </row>
    <row r="409" spans="1:1" ht="18" customHeight="1">
      <c r="A409" s="2"/>
    </row>
    <row r="410" spans="1:1" ht="18" customHeight="1">
      <c r="A410" s="2"/>
    </row>
    <row r="411" spans="1:1" ht="18" customHeight="1">
      <c r="A411" s="2"/>
    </row>
    <row r="412" spans="1:1" ht="18" customHeight="1">
      <c r="A412" s="2"/>
    </row>
    <row r="413" spans="1:1" ht="18" customHeight="1">
      <c r="A413" s="2"/>
    </row>
    <row r="414" spans="1:1" ht="18" customHeight="1">
      <c r="A414" s="2"/>
    </row>
    <row r="415" spans="1:1" ht="18" customHeight="1">
      <c r="A415" s="2"/>
    </row>
    <row r="416" spans="1:1" ht="18" customHeight="1">
      <c r="A416" s="2"/>
    </row>
    <row r="417" spans="1:1" ht="18" customHeight="1">
      <c r="A417" s="2"/>
    </row>
    <row r="418" spans="1:1" ht="18" customHeight="1">
      <c r="A418" s="2"/>
    </row>
    <row r="419" spans="1:1" ht="18" customHeight="1">
      <c r="A419" s="2"/>
    </row>
    <row r="420" spans="1:1" ht="18" customHeight="1">
      <c r="A420" s="2"/>
    </row>
    <row r="421" spans="1:1" ht="18" customHeight="1">
      <c r="A421" s="2"/>
    </row>
    <row r="422" spans="1:1" ht="18" customHeight="1">
      <c r="A422" s="2"/>
    </row>
    <row r="423" spans="1:1" ht="18" customHeight="1">
      <c r="A423" s="2"/>
    </row>
    <row r="424" spans="1:1" ht="18" customHeight="1">
      <c r="A424" s="2"/>
    </row>
    <row r="425" spans="1:1" ht="18" customHeight="1">
      <c r="A425" s="2"/>
    </row>
    <row r="426" spans="1:1" ht="18" customHeight="1">
      <c r="A426" s="2"/>
    </row>
    <row r="427" spans="1:1" ht="18" customHeight="1">
      <c r="A427" s="2"/>
    </row>
    <row r="428" spans="1:1" ht="18" customHeight="1">
      <c r="A428" s="2"/>
    </row>
    <row r="429" spans="1:1" ht="18" customHeight="1">
      <c r="A429" s="2"/>
    </row>
    <row r="430" spans="1:1" ht="18" customHeight="1">
      <c r="A430" s="2"/>
    </row>
    <row r="431" spans="1:1" ht="18" customHeight="1">
      <c r="A431" s="2"/>
    </row>
    <row r="432" spans="1:1" ht="18" customHeight="1">
      <c r="A432" s="2"/>
    </row>
    <row r="433" spans="1:1" ht="18" customHeight="1">
      <c r="A433" s="2"/>
    </row>
    <row r="434" spans="1:1" ht="18" customHeight="1">
      <c r="A434" s="2"/>
    </row>
    <row r="435" spans="1:1" ht="18" customHeight="1">
      <c r="A435" s="2"/>
    </row>
    <row r="436" spans="1:1" ht="18" customHeight="1">
      <c r="A436" s="2"/>
    </row>
    <row r="437" spans="1:1" ht="18" customHeight="1">
      <c r="A437" s="2"/>
    </row>
    <row r="438" spans="1:1" ht="18" customHeight="1">
      <c r="A438" s="2"/>
    </row>
    <row r="439" spans="1:1" ht="18" customHeight="1">
      <c r="A439" s="2"/>
    </row>
    <row r="440" spans="1:1" ht="18" customHeight="1">
      <c r="A440" s="2"/>
    </row>
    <row r="441" spans="1:1" ht="18" customHeight="1">
      <c r="A441" s="2"/>
    </row>
    <row r="442" spans="1:1" ht="18" customHeight="1">
      <c r="A442" s="2"/>
    </row>
    <row r="443" spans="1:1" ht="18" customHeight="1">
      <c r="A443" s="2"/>
    </row>
    <row r="444" spans="1:1" ht="18" customHeight="1">
      <c r="A444" s="2"/>
    </row>
    <row r="445" spans="1:1" ht="18" customHeight="1">
      <c r="A445" s="2"/>
    </row>
    <row r="446" spans="1:1" ht="18" customHeight="1">
      <c r="A446" s="2"/>
    </row>
    <row r="447" spans="1:1" ht="18" customHeight="1">
      <c r="A447" s="2"/>
    </row>
    <row r="448" spans="1:1" ht="18" customHeight="1">
      <c r="A448" s="2"/>
    </row>
    <row r="449" spans="1:1" ht="18" customHeight="1">
      <c r="A449" s="2"/>
    </row>
    <row r="450" spans="1:1" ht="18" customHeight="1">
      <c r="A450" s="2"/>
    </row>
    <row r="451" spans="1:1" ht="18" customHeight="1">
      <c r="A451" s="2"/>
    </row>
    <row r="452" spans="1:1" ht="18" customHeight="1">
      <c r="A452" s="2"/>
    </row>
    <row r="453" spans="1:1" ht="18" customHeight="1">
      <c r="A453" s="2"/>
    </row>
    <row r="454" spans="1:1" ht="18" customHeight="1">
      <c r="A454" s="2"/>
    </row>
    <row r="455" spans="1:1" ht="18" customHeight="1">
      <c r="A455" s="2"/>
    </row>
    <row r="456" spans="1:1" ht="18" customHeight="1">
      <c r="A456" s="2"/>
    </row>
    <row r="457" spans="1:1" ht="18" customHeight="1">
      <c r="A457" s="2"/>
    </row>
    <row r="458" spans="1:1" ht="18" customHeight="1">
      <c r="A458" s="2"/>
    </row>
    <row r="459" spans="1:1" ht="18" customHeight="1">
      <c r="A459" s="2"/>
    </row>
    <row r="460" spans="1:1" ht="18" customHeight="1">
      <c r="A460" s="2"/>
    </row>
    <row r="461" spans="1:1" ht="18" customHeight="1">
      <c r="A461" s="2"/>
    </row>
    <row r="462" spans="1:1" ht="18" customHeight="1">
      <c r="A462" s="2"/>
    </row>
    <row r="463" spans="1:1" ht="18" customHeight="1">
      <c r="A463" s="2"/>
    </row>
    <row r="464" spans="1:1" ht="18" customHeight="1">
      <c r="A464" s="2"/>
    </row>
    <row r="465" spans="1:1" ht="18" customHeight="1">
      <c r="A465" s="2"/>
    </row>
    <row r="466" spans="1:1" ht="18" customHeight="1">
      <c r="A466" s="2"/>
    </row>
    <row r="467" spans="1:1" ht="18" customHeight="1">
      <c r="A467" s="2"/>
    </row>
    <row r="468" spans="1:1" ht="18" customHeight="1">
      <c r="A468" s="2"/>
    </row>
    <row r="469" spans="1:1" ht="18" customHeight="1">
      <c r="A469" s="2"/>
    </row>
    <row r="470" spans="1:1" ht="18" customHeight="1">
      <c r="A470" s="2"/>
    </row>
    <row r="471" spans="1:1" ht="18" customHeight="1">
      <c r="A471" s="2"/>
    </row>
    <row r="472" spans="1:1" ht="18" customHeight="1">
      <c r="A472" s="2"/>
    </row>
    <row r="473" spans="1:1" ht="18" customHeight="1">
      <c r="A473" s="2"/>
    </row>
    <row r="474" spans="1:1" ht="18" customHeight="1">
      <c r="A474" s="2"/>
    </row>
    <row r="475" spans="1:1" ht="18" customHeight="1">
      <c r="A475" s="2"/>
    </row>
    <row r="476" spans="1:1" ht="18" customHeight="1">
      <c r="A476" s="2"/>
    </row>
    <row r="477" spans="1:1" ht="18" customHeight="1">
      <c r="A477" s="2"/>
    </row>
    <row r="478" spans="1:1" ht="18" customHeight="1">
      <c r="A478" s="2"/>
    </row>
    <row r="479" spans="1:1" ht="18" customHeight="1">
      <c r="A479" s="2"/>
    </row>
    <row r="480" spans="1:1" ht="18" customHeight="1">
      <c r="A480" s="2"/>
    </row>
    <row r="481" spans="1:1" ht="18" customHeight="1">
      <c r="A481" s="2"/>
    </row>
    <row r="482" spans="1:1" ht="18" customHeight="1">
      <c r="A482" s="2"/>
    </row>
    <row r="483" spans="1:1" ht="18" customHeight="1">
      <c r="A483" s="2"/>
    </row>
    <row r="484" spans="1:1" ht="18" customHeight="1">
      <c r="A484" s="2"/>
    </row>
    <row r="485" spans="1:1" ht="18" customHeight="1">
      <c r="A485" s="2"/>
    </row>
    <row r="486" spans="1:1" ht="18" customHeight="1">
      <c r="A486" s="2"/>
    </row>
    <row r="487" spans="1:1" ht="18" customHeight="1">
      <c r="A487" s="2"/>
    </row>
    <row r="488" spans="1:1" ht="18" customHeight="1">
      <c r="A488" s="2"/>
    </row>
    <row r="489" spans="1:1" ht="18" customHeight="1">
      <c r="A489" s="2"/>
    </row>
    <row r="490" spans="1:1" ht="18" customHeight="1">
      <c r="A490" s="2"/>
    </row>
    <row r="491" spans="1:1" ht="18" customHeight="1">
      <c r="A491" s="2"/>
    </row>
    <row r="492" spans="1:1" ht="18" customHeight="1">
      <c r="A492" s="2"/>
    </row>
    <row r="493" spans="1:1" ht="18" customHeight="1">
      <c r="A493" s="2"/>
    </row>
    <row r="494" spans="1:1" ht="18" customHeight="1">
      <c r="A494" s="2"/>
    </row>
    <row r="495" spans="1:1" ht="18" customHeight="1">
      <c r="A495" s="2"/>
    </row>
    <row r="496" spans="1:1" ht="18" customHeight="1">
      <c r="A496" s="2"/>
    </row>
    <row r="497" spans="1:1" ht="18" customHeight="1">
      <c r="A497" s="2"/>
    </row>
    <row r="498" spans="1:1" ht="18" customHeight="1">
      <c r="A498" s="2"/>
    </row>
    <row r="499" spans="1:1" ht="18" customHeight="1">
      <c r="A499" s="2"/>
    </row>
    <row r="500" spans="1:1" ht="18" customHeight="1">
      <c r="A500" s="2"/>
    </row>
    <row r="501" spans="1:1" ht="18" customHeight="1">
      <c r="A501" s="2"/>
    </row>
    <row r="502" spans="1:1" ht="18" customHeight="1">
      <c r="A502" s="2"/>
    </row>
    <row r="503" spans="1:1" ht="18" customHeight="1">
      <c r="A503" s="2"/>
    </row>
    <row r="504" spans="1:1" ht="18" customHeight="1">
      <c r="A504" s="2"/>
    </row>
    <row r="505" spans="1:1" ht="18" customHeight="1">
      <c r="A505" s="2"/>
    </row>
    <row r="506" spans="1:1" ht="18" customHeight="1">
      <c r="A506" s="2"/>
    </row>
    <row r="507" spans="1:1" ht="18" customHeight="1">
      <c r="A507" s="2"/>
    </row>
    <row r="508" spans="1:1" ht="18" customHeight="1">
      <c r="A508" s="2"/>
    </row>
    <row r="509" spans="1:1" ht="18" customHeight="1">
      <c r="A509" s="2"/>
    </row>
    <row r="510" spans="1:1" ht="18" customHeight="1">
      <c r="A510" s="2"/>
    </row>
    <row r="511" spans="1:1" ht="18" customHeight="1">
      <c r="A511" s="2"/>
    </row>
    <row r="512" spans="1:1" ht="18" customHeight="1">
      <c r="A512" s="2"/>
    </row>
    <row r="513" spans="1:1" ht="18" customHeight="1">
      <c r="A513" s="2"/>
    </row>
    <row r="514" spans="1:1" ht="18" customHeight="1">
      <c r="A514" s="2"/>
    </row>
    <row r="515" spans="1:1" ht="18" customHeight="1">
      <c r="A515" s="2"/>
    </row>
    <row r="516" spans="1:1" ht="18" customHeight="1">
      <c r="A516" s="2"/>
    </row>
    <row r="517" spans="1:1" ht="18" customHeight="1">
      <c r="A517" s="2"/>
    </row>
    <row r="518" spans="1:1" ht="18" customHeight="1">
      <c r="A518" s="2"/>
    </row>
    <row r="519" spans="1:1" ht="18" customHeight="1">
      <c r="A519" s="2"/>
    </row>
    <row r="520" spans="1:1" ht="18" customHeight="1">
      <c r="A520" s="2"/>
    </row>
    <row r="521" spans="1:1" ht="18" customHeight="1">
      <c r="A521" s="2"/>
    </row>
    <row r="522" spans="1:1" ht="18" customHeight="1">
      <c r="A522" s="2"/>
    </row>
    <row r="523" spans="1:1" ht="18" customHeight="1">
      <c r="A523" s="2"/>
    </row>
    <row r="524" spans="1:1" ht="18" customHeight="1">
      <c r="A524" s="2"/>
    </row>
    <row r="525" spans="1:1" ht="18" customHeight="1">
      <c r="A525" s="2"/>
    </row>
    <row r="526" spans="1:1" ht="18" customHeight="1">
      <c r="A526" s="2"/>
    </row>
    <row r="527" spans="1:1" ht="18" customHeight="1">
      <c r="A527" s="2"/>
    </row>
    <row r="528" spans="1:1" ht="18" customHeight="1">
      <c r="A528" s="2"/>
    </row>
    <row r="529" spans="1:1" ht="18" customHeight="1">
      <c r="A529" s="2"/>
    </row>
    <row r="530" spans="1:1" ht="18" customHeight="1">
      <c r="A530" s="2"/>
    </row>
    <row r="531" spans="1:1" ht="18" customHeight="1">
      <c r="A531" s="2"/>
    </row>
    <row r="532" spans="1:1" ht="18" customHeight="1">
      <c r="A532" s="2"/>
    </row>
    <row r="533" spans="1:1" ht="18" customHeight="1">
      <c r="A533" s="2"/>
    </row>
    <row r="534" spans="1:1" ht="18" customHeight="1">
      <c r="A534" s="2"/>
    </row>
    <row r="535" spans="1:1" ht="18" customHeight="1">
      <c r="A535" s="2"/>
    </row>
    <row r="536" spans="1:1" ht="18" customHeight="1">
      <c r="A536" s="2"/>
    </row>
    <row r="537" spans="1:1" ht="18" customHeight="1">
      <c r="A537" s="2"/>
    </row>
    <row r="538" spans="1:1" ht="18" customHeight="1">
      <c r="A538" s="2"/>
    </row>
    <row r="539" spans="1:1" ht="18" customHeight="1">
      <c r="A539" s="2"/>
    </row>
    <row r="540" spans="1:1" ht="18" customHeight="1">
      <c r="A540" s="2"/>
    </row>
    <row r="541" spans="1:1" ht="18" customHeight="1">
      <c r="A541" s="2"/>
    </row>
    <row r="542" spans="1:1" ht="18" customHeight="1">
      <c r="A542" s="2"/>
    </row>
    <row r="543" spans="1:1" ht="18" customHeight="1">
      <c r="A543" s="2"/>
    </row>
    <row r="544" spans="1:1" ht="18" customHeight="1">
      <c r="A544" s="2"/>
    </row>
    <row r="545" spans="1:1" ht="18" customHeight="1">
      <c r="A545" s="2"/>
    </row>
    <row r="546" spans="1:1" ht="18" customHeight="1">
      <c r="A546" s="2"/>
    </row>
    <row r="547" spans="1:1" ht="18" customHeight="1">
      <c r="A547" s="2"/>
    </row>
    <row r="548" spans="1:1" ht="18" customHeight="1">
      <c r="A548" s="2"/>
    </row>
    <row r="549" spans="1:1" ht="18" customHeight="1">
      <c r="A549" s="2"/>
    </row>
    <row r="550" spans="1:1" ht="18" customHeight="1">
      <c r="A550" s="2"/>
    </row>
    <row r="551" spans="1:1" ht="18" customHeight="1">
      <c r="A551" s="2"/>
    </row>
    <row r="552" spans="1:1" ht="18" customHeight="1">
      <c r="A552" s="2"/>
    </row>
    <row r="553" spans="1:1" ht="18" customHeight="1">
      <c r="A553" s="2"/>
    </row>
    <row r="554" spans="1:1" ht="18" customHeight="1">
      <c r="A554" s="2"/>
    </row>
    <row r="555" spans="1:1" ht="18" customHeight="1">
      <c r="A555" s="2"/>
    </row>
    <row r="556" spans="1:1" ht="18" customHeight="1">
      <c r="A556" s="2"/>
    </row>
    <row r="557" spans="1:1" ht="18" customHeight="1">
      <c r="A557" s="2"/>
    </row>
    <row r="558" spans="1:1" ht="18" customHeight="1">
      <c r="A558" s="2"/>
    </row>
    <row r="559" spans="1:1" ht="18" customHeight="1">
      <c r="A559" s="2"/>
    </row>
    <row r="560" spans="1:1" ht="18" customHeight="1">
      <c r="A560" s="2"/>
    </row>
    <row r="561" spans="1:1" ht="18" customHeight="1">
      <c r="A561" s="2"/>
    </row>
    <row r="562" spans="1:1" ht="18" customHeight="1">
      <c r="A562" s="2"/>
    </row>
    <row r="563" spans="1:1" ht="18" customHeight="1">
      <c r="A563" s="2"/>
    </row>
    <row r="564" spans="1:1" ht="18" customHeight="1">
      <c r="A564" s="2"/>
    </row>
    <row r="565" spans="1:1" ht="18" customHeight="1">
      <c r="A565" s="2"/>
    </row>
    <row r="566" spans="1:1" ht="18" customHeight="1">
      <c r="A566" s="2"/>
    </row>
    <row r="567" spans="1:1" ht="18" customHeight="1">
      <c r="A567" s="2"/>
    </row>
    <row r="568" spans="1:1" ht="18" customHeight="1">
      <c r="A568" s="2"/>
    </row>
    <row r="569" spans="1:1" ht="18" customHeight="1">
      <c r="A569" s="2"/>
    </row>
    <row r="570" spans="1:1" ht="18" customHeight="1">
      <c r="A570" s="2"/>
    </row>
    <row r="571" spans="1:1" ht="18" customHeight="1">
      <c r="A571" s="2"/>
    </row>
    <row r="572" spans="1:1" ht="18" customHeight="1">
      <c r="A572" s="2"/>
    </row>
    <row r="573" spans="1:1" ht="18" customHeight="1">
      <c r="A573" s="2"/>
    </row>
    <row r="574" spans="1:1" ht="18" customHeight="1">
      <c r="A574" s="2"/>
    </row>
    <row r="575" spans="1:1" ht="18" customHeight="1">
      <c r="A575" s="2"/>
    </row>
    <row r="576" spans="1:1" ht="18" customHeight="1">
      <c r="A576" s="2"/>
    </row>
    <row r="577" spans="1:1" ht="18" customHeight="1">
      <c r="A577" s="2"/>
    </row>
    <row r="578" spans="1:1" ht="18" customHeight="1">
      <c r="A578" s="2"/>
    </row>
    <row r="579" spans="1:1" ht="18" customHeight="1">
      <c r="A579" s="2"/>
    </row>
    <row r="580" spans="1:1" ht="18" customHeight="1">
      <c r="A580" s="2"/>
    </row>
    <row r="581" spans="1:1" ht="18" customHeight="1">
      <c r="A581" s="2"/>
    </row>
    <row r="582" spans="1:1" ht="18" customHeight="1">
      <c r="A582" s="2"/>
    </row>
    <row r="583" spans="1:1" ht="18" customHeight="1">
      <c r="A583" s="2"/>
    </row>
    <row r="584" spans="1:1" ht="18" customHeight="1">
      <c r="A584" s="2"/>
    </row>
    <row r="585" spans="1:1" ht="18" customHeight="1">
      <c r="A585" s="2"/>
    </row>
    <row r="586" spans="1:1" ht="18" customHeight="1">
      <c r="A586" s="2"/>
    </row>
    <row r="587" spans="1:1" ht="18" customHeight="1">
      <c r="A587" s="2"/>
    </row>
    <row r="588" spans="1:1" ht="18" customHeight="1">
      <c r="A588" s="2"/>
    </row>
    <row r="589" spans="1:1" ht="18" customHeight="1">
      <c r="A589" s="2"/>
    </row>
    <row r="590" spans="1:1" ht="18" customHeight="1">
      <c r="A590" s="2"/>
    </row>
    <row r="591" spans="1:1" ht="18" customHeight="1">
      <c r="A591" s="2"/>
    </row>
    <row r="592" spans="1:1" ht="18" customHeight="1">
      <c r="A592" s="2"/>
    </row>
    <row r="593" spans="1:1" ht="18" customHeight="1">
      <c r="A593" s="2"/>
    </row>
    <row r="594" spans="1:1" ht="18" customHeight="1">
      <c r="A594" s="2"/>
    </row>
    <row r="595" spans="1:1" ht="18" customHeight="1">
      <c r="A595" s="2"/>
    </row>
    <row r="596" spans="1:1" ht="18" customHeight="1">
      <c r="A596" s="2"/>
    </row>
    <row r="597" spans="1:1" ht="18" customHeight="1">
      <c r="A597" s="2"/>
    </row>
    <row r="598" spans="1:1" ht="18" customHeight="1">
      <c r="A598" s="2"/>
    </row>
    <row r="599" spans="1:1" ht="18" customHeight="1">
      <c r="A599" s="2"/>
    </row>
    <row r="600" spans="1:1" ht="18" customHeight="1">
      <c r="A600" s="2"/>
    </row>
    <row r="601" spans="1:1" ht="18" customHeight="1">
      <c r="A601" s="2"/>
    </row>
    <row r="602" spans="1:1" ht="18" customHeight="1">
      <c r="A602" s="2"/>
    </row>
    <row r="603" spans="1:1" ht="18" customHeight="1">
      <c r="A603" s="2"/>
    </row>
    <row r="604" spans="1:1" ht="18" customHeight="1">
      <c r="A604" s="2"/>
    </row>
    <row r="605" spans="1:1" ht="18" customHeight="1">
      <c r="A605" s="2"/>
    </row>
    <row r="606" spans="1:1" ht="18" customHeight="1">
      <c r="A606" s="2"/>
    </row>
    <row r="607" spans="1:1" ht="18" customHeight="1">
      <c r="A607" s="2"/>
    </row>
    <row r="608" spans="1:1" ht="18" customHeight="1">
      <c r="A608" s="2"/>
    </row>
    <row r="609" spans="1:1" ht="18" customHeight="1">
      <c r="A609" s="2"/>
    </row>
    <row r="610" spans="1:1" ht="18" customHeight="1">
      <c r="A610" s="2"/>
    </row>
    <row r="611" spans="1:1" ht="18" customHeight="1">
      <c r="A611" s="2"/>
    </row>
    <row r="612" spans="1:1" ht="18" customHeight="1">
      <c r="A612" s="2"/>
    </row>
    <row r="613" spans="1:1" ht="18" customHeight="1">
      <c r="A613" s="2"/>
    </row>
    <row r="614" spans="1:1" ht="18" customHeight="1">
      <c r="A614" s="2"/>
    </row>
    <row r="615" spans="1:1" ht="18" customHeight="1">
      <c r="A615" s="2"/>
    </row>
    <row r="616" spans="1:1" ht="18" customHeight="1">
      <c r="A616" s="2"/>
    </row>
    <row r="617" spans="1:1" ht="18" customHeight="1">
      <c r="A617" s="2"/>
    </row>
    <row r="618" spans="1:1" ht="18" customHeight="1">
      <c r="A618" s="2"/>
    </row>
    <row r="619" spans="1:1" ht="18" customHeight="1">
      <c r="A619" s="2"/>
    </row>
    <row r="620" spans="1:1" ht="18" customHeight="1">
      <c r="A620" s="2"/>
    </row>
    <row r="621" spans="1:1" ht="18" customHeight="1">
      <c r="A621" s="2"/>
    </row>
    <row r="622" spans="1:1" ht="18" customHeight="1">
      <c r="A622" s="2"/>
    </row>
    <row r="623" spans="1:1" ht="18" customHeight="1">
      <c r="A623" s="2"/>
    </row>
    <row r="624" spans="1:1" ht="18" customHeight="1">
      <c r="A624" s="2"/>
    </row>
    <row r="625" spans="1:1" ht="18" customHeight="1">
      <c r="A625" s="2"/>
    </row>
    <row r="626" spans="1:1" ht="18" customHeight="1">
      <c r="A626" s="2"/>
    </row>
    <row r="627" spans="1:1" ht="18" customHeight="1">
      <c r="A627" s="2"/>
    </row>
    <row r="628" spans="1:1" ht="18" customHeight="1">
      <c r="A628" s="2"/>
    </row>
    <row r="629" spans="1:1" ht="18" customHeight="1">
      <c r="A629" s="2"/>
    </row>
    <row r="630" spans="1:1" ht="18" customHeight="1">
      <c r="A630" s="2"/>
    </row>
    <row r="631" spans="1:1" ht="18" customHeight="1">
      <c r="A631" s="2"/>
    </row>
    <row r="632" spans="1:1" ht="18" customHeight="1">
      <c r="A632" s="2"/>
    </row>
    <row r="633" spans="1:1" ht="18" customHeight="1">
      <c r="A633" s="2"/>
    </row>
    <row r="634" spans="1:1" ht="18" customHeight="1">
      <c r="A634" s="2"/>
    </row>
    <row r="635" spans="1:1" ht="18" customHeight="1">
      <c r="A635" s="2"/>
    </row>
    <row r="636" spans="1:1" ht="18" customHeight="1">
      <c r="A636" s="2"/>
    </row>
    <row r="637" spans="1:1" ht="18" customHeight="1">
      <c r="A637" s="2"/>
    </row>
    <row r="638" spans="1:1" ht="18" customHeight="1">
      <c r="A638" s="2"/>
    </row>
    <row r="639" spans="1:1" ht="18" customHeight="1">
      <c r="A639" s="2"/>
    </row>
    <row r="640" spans="1:1" ht="18" customHeight="1">
      <c r="A640" s="2"/>
    </row>
    <row r="641" spans="1:1" ht="18" customHeight="1">
      <c r="A641" s="2"/>
    </row>
    <row r="642" spans="1:1" ht="18" customHeight="1">
      <c r="A642" s="2"/>
    </row>
    <row r="643" spans="1:1" ht="18" customHeight="1">
      <c r="A643" s="2"/>
    </row>
    <row r="644" spans="1:1" ht="18" customHeight="1">
      <c r="A644" s="2"/>
    </row>
    <row r="645" spans="1:1" ht="18" customHeight="1">
      <c r="A645" s="2"/>
    </row>
    <row r="646" spans="1:1" ht="18" customHeight="1">
      <c r="A646" s="2"/>
    </row>
    <row r="647" spans="1:1" ht="18" customHeight="1">
      <c r="A647" s="2"/>
    </row>
    <row r="648" spans="1:1" ht="18" customHeight="1">
      <c r="A648" s="2"/>
    </row>
    <row r="649" spans="1:1" ht="18" customHeight="1">
      <c r="A649" s="2"/>
    </row>
    <row r="650" spans="1:1" ht="18" customHeight="1">
      <c r="A650" s="2"/>
    </row>
    <row r="651" spans="1:1" ht="18" customHeight="1">
      <c r="A651" s="2"/>
    </row>
    <row r="652" spans="1:1" ht="18" customHeight="1">
      <c r="A652" s="2"/>
    </row>
    <row r="653" spans="1:1" ht="18" customHeight="1">
      <c r="A653" s="2"/>
    </row>
    <row r="654" spans="1:1" ht="18" customHeight="1">
      <c r="A654" s="2"/>
    </row>
    <row r="655" spans="1:1" ht="18" customHeight="1">
      <c r="A655" s="2"/>
    </row>
    <row r="656" spans="1:1" ht="18" customHeight="1">
      <c r="A656" s="2"/>
    </row>
    <row r="657" spans="1:1" ht="18" customHeight="1">
      <c r="A657" s="2"/>
    </row>
    <row r="658" spans="1:1" ht="18" customHeight="1">
      <c r="A658" s="2"/>
    </row>
    <row r="659" spans="1:1" ht="18" customHeight="1">
      <c r="A659" s="2"/>
    </row>
    <row r="660" spans="1:1" ht="18" customHeight="1">
      <c r="A660" s="2"/>
    </row>
    <row r="661" spans="1:1" ht="18" customHeight="1">
      <c r="A661" s="2"/>
    </row>
    <row r="662" spans="1:1" ht="18" customHeight="1">
      <c r="A662" s="2"/>
    </row>
    <row r="663" spans="1:1" ht="18" customHeight="1">
      <c r="A663" s="2"/>
    </row>
    <row r="664" spans="1:1" ht="18" customHeight="1">
      <c r="A664" s="2"/>
    </row>
    <row r="665" spans="1:1" ht="18" customHeight="1">
      <c r="A665" s="2"/>
    </row>
    <row r="666" spans="1:1" ht="18" customHeight="1">
      <c r="A666" s="2"/>
    </row>
    <row r="667" spans="1:1" ht="18" customHeight="1">
      <c r="A667" s="2"/>
    </row>
    <row r="668" spans="1:1" ht="18" customHeight="1">
      <c r="A668" s="2"/>
    </row>
    <row r="669" spans="1:1" ht="18" customHeight="1">
      <c r="A669" s="2"/>
    </row>
    <row r="670" spans="1:1" ht="18" customHeight="1">
      <c r="A670" s="2"/>
    </row>
    <row r="671" spans="1:1" ht="18" customHeight="1">
      <c r="A671" s="2"/>
    </row>
    <row r="672" spans="1:1" ht="18" customHeight="1">
      <c r="A672" s="2"/>
    </row>
    <row r="673" spans="1:1" ht="18" customHeight="1">
      <c r="A673" s="2"/>
    </row>
    <row r="674" spans="1:1" ht="18" customHeight="1">
      <c r="A674" s="2"/>
    </row>
    <row r="675" spans="1:1" ht="18" customHeight="1">
      <c r="A675" s="2"/>
    </row>
    <row r="676" spans="1:1" ht="18" customHeight="1">
      <c r="A676" s="2"/>
    </row>
    <row r="677" spans="1:1" ht="18" customHeight="1">
      <c r="A677" s="2"/>
    </row>
    <row r="678" spans="1:1" ht="18" customHeight="1">
      <c r="A678" s="2"/>
    </row>
    <row r="679" spans="1:1" ht="18" customHeight="1">
      <c r="A679" s="2"/>
    </row>
    <row r="680" spans="1:1" ht="18" customHeight="1">
      <c r="A680" s="2"/>
    </row>
    <row r="681" spans="1:1" ht="18" customHeight="1">
      <c r="A681" s="2"/>
    </row>
    <row r="682" spans="1:1" ht="18" customHeight="1">
      <c r="A682" s="2"/>
    </row>
    <row r="683" spans="1:1" ht="18" customHeight="1">
      <c r="A683" s="2"/>
    </row>
    <row r="684" spans="1:1" ht="18" customHeight="1">
      <c r="A684" s="2"/>
    </row>
    <row r="685" spans="1:1" ht="18" customHeight="1">
      <c r="A685" s="2"/>
    </row>
    <row r="686" spans="1:1" ht="18" customHeight="1">
      <c r="A686" s="2"/>
    </row>
    <row r="687" spans="1:1" ht="18" customHeight="1">
      <c r="A687" s="2"/>
    </row>
    <row r="688" spans="1:1" ht="18" customHeight="1">
      <c r="A688" s="2"/>
    </row>
    <row r="689" spans="1:1" ht="18" customHeight="1">
      <c r="A689" s="2"/>
    </row>
    <row r="690" spans="1:1" ht="18" customHeight="1">
      <c r="A690" s="2"/>
    </row>
    <row r="691" spans="1:1" ht="18" customHeight="1">
      <c r="A691" s="2"/>
    </row>
    <row r="692" spans="1:1" ht="18" customHeight="1">
      <c r="A692" s="2"/>
    </row>
    <row r="693" spans="1:1" ht="18" customHeight="1">
      <c r="A693" s="2"/>
    </row>
    <row r="694" spans="1:1" ht="18" customHeight="1">
      <c r="A694" s="2"/>
    </row>
    <row r="695" spans="1:1" ht="18" customHeight="1">
      <c r="A695" s="2"/>
    </row>
    <row r="696" spans="1:1" ht="18" customHeight="1">
      <c r="A696" s="2"/>
    </row>
    <row r="697" spans="1:1" ht="18" customHeight="1">
      <c r="A697" s="2"/>
    </row>
    <row r="698" spans="1:1" ht="18" customHeight="1">
      <c r="A698" s="2"/>
    </row>
    <row r="699" spans="1:1" ht="18" customHeight="1">
      <c r="A699" s="2"/>
    </row>
    <row r="700" spans="1:1" ht="18" customHeight="1">
      <c r="A700" s="2"/>
    </row>
    <row r="701" spans="1:1" ht="18" customHeight="1">
      <c r="A701" s="2"/>
    </row>
    <row r="702" spans="1:1" ht="18" customHeight="1">
      <c r="A702" s="2"/>
    </row>
    <row r="703" spans="1:1" ht="18" customHeight="1">
      <c r="A703" s="2"/>
    </row>
    <row r="704" spans="1:1" ht="18" customHeight="1">
      <c r="A704" s="2"/>
    </row>
    <row r="705" spans="1:1" ht="18" customHeight="1">
      <c r="A705" s="2"/>
    </row>
    <row r="706" spans="1:1" ht="18" customHeight="1">
      <c r="A706" s="2"/>
    </row>
    <row r="707" spans="1:1" ht="18" customHeight="1">
      <c r="A707" s="2"/>
    </row>
    <row r="708" spans="1:1" ht="18" customHeight="1">
      <c r="A708" s="2"/>
    </row>
    <row r="709" spans="1:1" ht="18" customHeight="1">
      <c r="A709" s="2"/>
    </row>
    <row r="710" spans="1:1" ht="18" customHeight="1">
      <c r="A710" s="2"/>
    </row>
    <row r="711" spans="1:1" ht="18" customHeight="1">
      <c r="A711" s="2"/>
    </row>
    <row r="712" spans="1:1" ht="18" customHeight="1">
      <c r="A712" s="2"/>
    </row>
    <row r="713" spans="1:1" ht="18" customHeight="1">
      <c r="A713" s="2"/>
    </row>
    <row r="714" spans="1:1" ht="18" customHeight="1">
      <c r="A714" s="2"/>
    </row>
    <row r="715" spans="1:1" ht="18" customHeight="1">
      <c r="A715" s="2"/>
    </row>
    <row r="716" spans="1:1" ht="18" customHeight="1">
      <c r="A716" s="2"/>
    </row>
    <row r="717" spans="1:1" ht="18" customHeight="1">
      <c r="A717" s="2"/>
    </row>
    <row r="718" spans="1:1" ht="18" customHeight="1">
      <c r="A718" s="2"/>
    </row>
    <row r="719" spans="1:1" ht="18" customHeight="1">
      <c r="A719" s="2"/>
    </row>
    <row r="720" spans="1:1" ht="18" customHeight="1">
      <c r="A720" s="2"/>
    </row>
    <row r="721" spans="1:1" ht="18" customHeight="1">
      <c r="A721" s="2"/>
    </row>
    <row r="722" spans="1:1" ht="18" customHeight="1">
      <c r="A722" s="2"/>
    </row>
    <row r="723" spans="1:1" ht="18" customHeight="1">
      <c r="A723" s="2"/>
    </row>
    <row r="724" spans="1:1" ht="18" customHeight="1">
      <c r="A724" s="2"/>
    </row>
    <row r="725" spans="1:1" ht="18" customHeight="1">
      <c r="A725" s="2"/>
    </row>
    <row r="726" spans="1:1" ht="18" customHeight="1">
      <c r="A726" s="2"/>
    </row>
    <row r="727" spans="1:1" ht="18" customHeight="1">
      <c r="A727" s="2"/>
    </row>
    <row r="728" spans="1:1" ht="18" customHeight="1">
      <c r="A728" s="2"/>
    </row>
    <row r="729" spans="1:1" ht="18" customHeight="1">
      <c r="A729" s="2"/>
    </row>
    <row r="730" spans="1:1" ht="18" customHeight="1">
      <c r="A730" s="2"/>
    </row>
    <row r="731" spans="1:1" ht="18" customHeight="1">
      <c r="A731" s="2"/>
    </row>
    <row r="732" spans="1:1" ht="18" customHeight="1">
      <c r="A732" s="2"/>
    </row>
    <row r="733" spans="1:1" ht="18" customHeight="1">
      <c r="A733" s="2"/>
    </row>
    <row r="734" spans="1:1" ht="18" customHeight="1">
      <c r="A734" s="2"/>
    </row>
    <row r="735" spans="1:1" ht="18" customHeight="1">
      <c r="A735" s="2"/>
    </row>
    <row r="736" spans="1:1" ht="18" customHeight="1">
      <c r="A736" s="2"/>
    </row>
    <row r="737" spans="1:1" ht="18" customHeight="1">
      <c r="A737" s="2"/>
    </row>
    <row r="738" spans="1:1" ht="18" customHeight="1">
      <c r="A738" s="2"/>
    </row>
    <row r="739" spans="1:1" ht="18" customHeight="1">
      <c r="A739" s="2"/>
    </row>
    <row r="740" spans="1:1" ht="18" customHeight="1">
      <c r="A740" s="2"/>
    </row>
    <row r="741" spans="1:1" ht="18" customHeight="1">
      <c r="A741" s="2"/>
    </row>
    <row r="742" spans="1:1" ht="18" customHeight="1">
      <c r="A742" s="2"/>
    </row>
    <row r="743" spans="1:1" ht="18" customHeight="1">
      <c r="A743" s="2"/>
    </row>
    <row r="744" spans="1:1" ht="18" customHeight="1">
      <c r="A744" s="2"/>
    </row>
    <row r="745" spans="1:1" ht="18" customHeight="1">
      <c r="A745" s="2"/>
    </row>
    <row r="746" spans="1:1" ht="18" customHeight="1">
      <c r="A746" s="2"/>
    </row>
    <row r="747" spans="1:1" ht="18" customHeight="1">
      <c r="A747" s="2"/>
    </row>
    <row r="748" spans="1:1" ht="18" customHeight="1">
      <c r="A748" s="2"/>
    </row>
    <row r="749" spans="1:1" ht="18" customHeight="1">
      <c r="A749" s="2"/>
    </row>
    <row r="750" spans="1:1" ht="18" customHeight="1">
      <c r="A750" s="2"/>
    </row>
    <row r="751" spans="1:1" ht="18" customHeight="1">
      <c r="A751" s="2"/>
    </row>
    <row r="752" spans="1:1" ht="18" customHeight="1">
      <c r="A752" s="2"/>
    </row>
    <row r="753" spans="1:1" ht="18" customHeight="1">
      <c r="A753" s="2"/>
    </row>
    <row r="754" spans="1:1" ht="18" customHeight="1">
      <c r="A754" s="2"/>
    </row>
    <row r="755" spans="1:1" ht="18" customHeight="1">
      <c r="A755" s="2"/>
    </row>
    <row r="756" spans="1:1" ht="18" customHeight="1">
      <c r="A756" s="2"/>
    </row>
    <row r="757" spans="1:1" ht="18" customHeight="1">
      <c r="A757" s="2"/>
    </row>
    <row r="758" spans="1:1" ht="18" customHeight="1">
      <c r="A758" s="2"/>
    </row>
    <row r="759" spans="1:1" ht="18" customHeight="1">
      <c r="A759" s="2"/>
    </row>
    <row r="760" spans="1:1" ht="18" customHeight="1">
      <c r="A760" s="2"/>
    </row>
    <row r="761" spans="1:1" ht="18" customHeight="1">
      <c r="A761" s="2"/>
    </row>
    <row r="762" spans="1:1" ht="18" customHeight="1">
      <c r="A762" s="2"/>
    </row>
    <row r="763" spans="1:1" ht="18" customHeight="1">
      <c r="A763" s="2"/>
    </row>
    <row r="764" spans="1:1" ht="18" customHeight="1">
      <c r="A764" s="2"/>
    </row>
    <row r="765" spans="1:1" ht="18" customHeight="1">
      <c r="A765" s="2"/>
    </row>
    <row r="766" spans="1:1" ht="18" customHeight="1">
      <c r="A766" s="2"/>
    </row>
    <row r="767" spans="1:1" ht="18" customHeight="1">
      <c r="A767" s="2"/>
    </row>
    <row r="768" spans="1:1" ht="18" customHeight="1">
      <c r="A768" s="2"/>
    </row>
    <row r="769" spans="1:1" ht="18" customHeight="1">
      <c r="A769" s="2"/>
    </row>
    <row r="770" spans="1:1" ht="18" customHeight="1">
      <c r="A770" s="2"/>
    </row>
    <row r="771" spans="1:1" ht="18" customHeight="1">
      <c r="A771" s="2"/>
    </row>
    <row r="772" spans="1:1" ht="18" customHeight="1">
      <c r="A772" s="2"/>
    </row>
    <row r="773" spans="1:1" ht="18" customHeight="1">
      <c r="A773" s="2"/>
    </row>
    <row r="774" spans="1:1" ht="18" customHeight="1">
      <c r="A774" s="2"/>
    </row>
    <row r="775" spans="1:1" ht="18" customHeight="1">
      <c r="A775" s="2"/>
    </row>
    <row r="776" spans="1:1" ht="18" customHeight="1">
      <c r="A776" s="2"/>
    </row>
    <row r="777" spans="1:1" ht="18" customHeight="1">
      <c r="A777" s="2"/>
    </row>
    <row r="778" spans="1:1" ht="18" customHeight="1">
      <c r="A778" s="2"/>
    </row>
    <row r="779" spans="1:1" ht="18" customHeight="1">
      <c r="A779" s="2"/>
    </row>
    <row r="780" spans="1:1" ht="18" customHeight="1">
      <c r="A780" s="2"/>
    </row>
    <row r="781" spans="1:1" ht="18" customHeight="1">
      <c r="A781" s="2"/>
    </row>
    <row r="782" spans="1:1" ht="18" customHeight="1">
      <c r="A782" s="2"/>
    </row>
    <row r="783" spans="1:1" ht="18" customHeight="1">
      <c r="A783" s="2"/>
    </row>
    <row r="784" spans="1:1" ht="18" customHeight="1">
      <c r="A784" s="2"/>
    </row>
    <row r="785" spans="1:1" ht="18" customHeight="1">
      <c r="A785" s="2"/>
    </row>
    <row r="786" spans="1:1" ht="18" customHeight="1">
      <c r="A786" s="2"/>
    </row>
    <row r="787" spans="1:1" ht="18" customHeight="1">
      <c r="A787" s="2"/>
    </row>
    <row r="788" spans="1:1" ht="18" customHeight="1">
      <c r="A788" s="2"/>
    </row>
    <row r="789" spans="1:1" ht="18" customHeight="1">
      <c r="A789" s="2"/>
    </row>
    <row r="790" spans="1:1" ht="18" customHeight="1">
      <c r="A790" s="2"/>
    </row>
    <row r="791" spans="1:1" ht="18" customHeight="1">
      <c r="A791" s="2"/>
    </row>
    <row r="792" spans="1:1" ht="18" customHeight="1">
      <c r="A792" s="2"/>
    </row>
    <row r="793" spans="1:1" ht="18" customHeight="1">
      <c r="A793" s="2"/>
    </row>
    <row r="794" spans="1:1" ht="18" customHeight="1">
      <c r="A794" s="2"/>
    </row>
    <row r="795" spans="1:1" ht="18" customHeight="1">
      <c r="A795" s="2"/>
    </row>
    <row r="796" spans="1:1" ht="18" customHeight="1">
      <c r="A796" s="2"/>
    </row>
    <row r="797" spans="1:1" ht="18" customHeight="1">
      <c r="A797" s="2"/>
    </row>
    <row r="798" spans="1:1" ht="18" customHeight="1">
      <c r="A798" s="2"/>
    </row>
    <row r="799" spans="1:1" ht="18" customHeight="1">
      <c r="A799" s="2"/>
    </row>
    <row r="800" spans="1:1" ht="18" customHeight="1">
      <c r="A800" s="2"/>
    </row>
    <row r="801" spans="1:1" ht="18" customHeight="1">
      <c r="A801" s="2"/>
    </row>
    <row r="802" spans="1:1" ht="18" customHeight="1">
      <c r="A802" s="2"/>
    </row>
    <row r="803" spans="1:1" ht="18" customHeight="1">
      <c r="A803" s="2"/>
    </row>
    <row r="804" spans="1:1" ht="18" customHeight="1">
      <c r="A804" s="2"/>
    </row>
    <row r="805" spans="1:1" ht="18" customHeight="1">
      <c r="A805" s="2"/>
    </row>
    <row r="806" spans="1:1" ht="18" customHeight="1">
      <c r="A806" s="2"/>
    </row>
    <row r="807" spans="1:1" ht="18" customHeight="1">
      <c r="A807" s="2"/>
    </row>
    <row r="808" spans="1:1" ht="18" customHeight="1">
      <c r="A808" s="2"/>
    </row>
    <row r="809" spans="1:1" ht="18" customHeight="1">
      <c r="A809" s="2"/>
    </row>
    <row r="810" spans="1:1" ht="18" customHeight="1">
      <c r="A810" s="2"/>
    </row>
    <row r="811" spans="1:1" ht="18" customHeight="1">
      <c r="A811" s="2"/>
    </row>
    <row r="812" spans="1:1" ht="18" customHeight="1">
      <c r="A812" s="2"/>
    </row>
    <row r="813" spans="1:1" ht="18" customHeight="1">
      <c r="A813" s="2"/>
    </row>
    <row r="814" spans="1:1" ht="18" customHeight="1">
      <c r="A814" s="2"/>
    </row>
    <row r="815" spans="1:1" ht="18" customHeight="1">
      <c r="A815" s="2"/>
    </row>
    <row r="816" spans="1:1" ht="18" customHeight="1">
      <c r="A816" s="2"/>
    </row>
    <row r="817" spans="1:1" ht="18" customHeight="1">
      <c r="A817" s="2"/>
    </row>
    <row r="818" spans="1:1" ht="18" customHeight="1">
      <c r="A818" s="2"/>
    </row>
    <row r="819" spans="1:1" ht="18" customHeight="1">
      <c r="A819" s="2"/>
    </row>
    <row r="820" spans="1:1" ht="18" customHeight="1">
      <c r="A820" s="2"/>
    </row>
    <row r="821" spans="1:1" ht="18" customHeight="1">
      <c r="A821" s="2"/>
    </row>
    <row r="822" spans="1:1" ht="18" customHeight="1">
      <c r="A822" s="2"/>
    </row>
    <row r="823" spans="1:1" ht="18" customHeight="1">
      <c r="A823" s="2"/>
    </row>
    <row r="824" spans="1:1" ht="18" customHeight="1">
      <c r="A824" s="2"/>
    </row>
    <row r="825" spans="1:1" ht="18" customHeight="1">
      <c r="A825" s="2"/>
    </row>
    <row r="826" spans="1:1" ht="18" customHeight="1">
      <c r="A826" s="2"/>
    </row>
    <row r="827" spans="1:1" ht="18" customHeight="1">
      <c r="A827" s="2"/>
    </row>
    <row r="828" spans="1:1" ht="18" customHeight="1">
      <c r="A828" s="2"/>
    </row>
    <row r="829" spans="1:1" ht="18" customHeight="1">
      <c r="A829" s="2"/>
    </row>
    <row r="830" spans="1:1" ht="18" customHeight="1">
      <c r="A830" s="2"/>
    </row>
    <row r="831" spans="1:1" ht="18" customHeight="1">
      <c r="A831" s="2"/>
    </row>
    <row r="832" spans="1:1" ht="18" customHeight="1">
      <c r="A832" s="2"/>
    </row>
    <row r="833" spans="1:1" ht="18" customHeight="1">
      <c r="A833" s="2"/>
    </row>
    <row r="834" spans="1:1" ht="18" customHeight="1">
      <c r="A834" s="2"/>
    </row>
    <row r="835" spans="1:1" ht="18" customHeight="1">
      <c r="A835" s="2"/>
    </row>
    <row r="836" spans="1:1" ht="18" customHeight="1">
      <c r="A836" s="2"/>
    </row>
    <row r="837" spans="1:1" ht="18" customHeight="1">
      <c r="A837" s="2"/>
    </row>
    <row r="838" spans="1:1" ht="18" customHeight="1">
      <c r="A838" s="2"/>
    </row>
    <row r="839" spans="1:1" ht="18" customHeight="1">
      <c r="A839" s="2"/>
    </row>
    <row r="840" spans="1:1" ht="18" customHeight="1">
      <c r="A840" s="2"/>
    </row>
    <row r="841" spans="1:1" ht="18" customHeight="1">
      <c r="A841" s="2"/>
    </row>
    <row r="842" spans="1:1" ht="18" customHeight="1">
      <c r="A842" s="2"/>
    </row>
    <row r="843" spans="1:1" ht="18" customHeight="1">
      <c r="A843" s="2"/>
    </row>
    <row r="844" spans="1:1" ht="18" customHeight="1">
      <c r="A844" s="2"/>
    </row>
    <row r="845" spans="1:1" ht="18" customHeight="1">
      <c r="A845" s="2"/>
    </row>
    <row r="846" spans="1:1" ht="18" customHeight="1">
      <c r="A846" s="2"/>
    </row>
    <row r="847" spans="1:1" ht="18" customHeight="1">
      <c r="A847" s="2"/>
    </row>
    <row r="848" spans="1:1" ht="18" customHeight="1">
      <c r="A848" s="2"/>
    </row>
    <row r="849" spans="1:1" ht="18" customHeight="1">
      <c r="A849" s="2"/>
    </row>
    <row r="850" spans="1:1" ht="18" customHeight="1">
      <c r="A850" s="2"/>
    </row>
    <row r="851" spans="1:1" ht="18" customHeight="1">
      <c r="A851" s="2"/>
    </row>
    <row r="852" spans="1:1" ht="18" customHeight="1">
      <c r="A852" s="2"/>
    </row>
    <row r="853" spans="1:1" ht="18" customHeight="1">
      <c r="A853" s="2"/>
    </row>
    <row r="854" spans="1:1" ht="18" customHeight="1">
      <c r="A854" s="2"/>
    </row>
    <row r="855" spans="1:1" ht="18" customHeight="1">
      <c r="A855" s="2"/>
    </row>
    <row r="856" spans="1:1" ht="18" customHeight="1">
      <c r="A856" s="2"/>
    </row>
    <row r="857" spans="1:1" ht="18" customHeight="1">
      <c r="A857" s="2"/>
    </row>
    <row r="858" spans="1:1" ht="18" customHeight="1">
      <c r="A858" s="2"/>
    </row>
    <row r="859" spans="1:1" ht="18" customHeight="1">
      <c r="A859" s="2"/>
    </row>
    <row r="860" spans="1:1" ht="18" customHeight="1">
      <c r="A860" s="2"/>
    </row>
    <row r="861" spans="1:1" ht="18" customHeight="1">
      <c r="A861" s="2"/>
    </row>
    <row r="862" spans="1:1" ht="18" customHeight="1">
      <c r="A862" s="2"/>
    </row>
    <row r="863" spans="1:1" ht="18" customHeight="1">
      <c r="A863" s="2"/>
    </row>
    <row r="864" spans="1:1" ht="18" customHeight="1">
      <c r="A864" s="2"/>
    </row>
    <row r="865" spans="1:1" ht="18" customHeight="1">
      <c r="A865" s="2"/>
    </row>
    <row r="866" spans="1:1" ht="18" customHeight="1">
      <c r="A866" s="2"/>
    </row>
    <row r="867" spans="1:1" ht="18" customHeight="1">
      <c r="A867" s="2"/>
    </row>
    <row r="868" spans="1:1" ht="18" customHeight="1">
      <c r="A868" s="2"/>
    </row>
    <row r="869" spans="1:1" ht="18" customHeight="1">
      <c r="A869" s="2"/>
    </row>
    <row r="870" spans="1:1" ht="18" customHeight="1">
      <c r="A870" s="2"/>
    </row>
    <row r="871" spans="1:1" ht="18" customHeight="1">
      <c r="A871" s="2"/>
    </row>
    <row r="872" spans="1:1" ht="18" customHeight="1">
      <c r="A872" s="2"/>
    </row>
    <row r="873" spans="1:1" ht="18" customHeight="1">
      <c r="A873" s="2"/>
    </row>
    <row r="874" spans="1:1" ht="18" customHeight="1">
      <c r="A874" s="2"/>
    </row>
    <row r="875" spans="1:1" ht="18" customHeight="1">
      <c r="A875" s="2"/>
    </row>
    <row r="876" spans="1:1" ht="18" customHeight="1">
      <c r="A876" s="2"/>
    </row>
    <row r="877" spans="1:1" ht="18" customHeight="1">
      <c r="A877" s="2"/>
    </row>
    <row r="878" spans="1:1" ht="18" customHeight="1">
      <c r="A878" s="2"/>
    </row>
    <row r="879" spans="1:1" ht="18" customHeight="1">
      <c r="A879" s="2"/>
    </row>
    <row r="880" spans="1:1" ht="18" customHeight="1">
      <c r="A880" s="2"/>
    </row>
    <row r="881" spans="1:1" ht="18" customHeight="1">
      <c r="A881" s="2"/>
    </row>
    <row r="882" spans="1:1" ht="18" customHeight="1">
      <c r="A882" s="2"/>
    </row>
    <row r="883" spans="1:1" ht="18" customHeight="1">
      <c r="A883" s="2"/>
    </row>
    <row r="884" spans="1:1" ht="18" customHeight="1">
      <c r="A884" s="2"/>
    </row>
    <row r="885" spans="1:1" ht="18" customHeight="1">
      <c r="A885" s="2"/>
    </row>
    <row r="886" spans="1:1" ht="18" customHeight="1">
      <c r="A886" s="2"/>
    </row>
    <row r="887" spans="1:1" ht="18" customHeight="1">
      <c r="A887" s="2"/>
    </row>
    <row r="888" spans="1:1" ht="18" customHeight="1">
      <c r="A888" s="2"/>
    </row>
    <row r="889" spans="1:1" ht="18" customHeight="1">
      <c r="A889" s="2"/>
    </row>
    <row r="890" spans="1:1" ht="18" customHeight="1">
      <c r="A890" s="2"/>
    </row>
    <row r="891" spans="1:1" ht="18" customHeight="1">
      <c r="A891" s="2"/>
    </row>
    <row r="892" spans="1:1" ht="18" customHeight="1">
      <c r="A892" s="2"/>
    </row>
    <row r="893" spans="1:1" ht="18" customHeight="1">
      <c r="A893" s="2"/>
    </row>
    <row r="894" spans="1:1" ht="18" customHeight="1">
      <c r="A894" s="2"/>
    </row>
    <row r="895" spans="1:1" ht="18" customHeight="1">
      <c r="A895" s="2"/>
    </row>
    <row r="896" spans="1:1" ht="18" customHeight="1">
      <c r="A896" s="2"/>
    </row>
    <row r="897" spans="1:1" ht="18" customHeight="1">
      <c r="A897" s="2"/>
    </row>
    <row r="898" spans="1:1" ht="18" customHeight="1">
      <c r="A898" s="2"/>
    </row>
    <row r="899" spans="1:1" ht="18" customHeight="1">
      <c r="A899" s="2"/>
    </row>
    <row r="900" spans="1:1" ht="18" customHeight="1">
      <c r="A900" s="2"/>
    </row>
    <row r="901" spans="1:1" ht="18" customHeight="1">
      <c r="A901" s="2"/>
    </row>
    <row r="902" spans="1:1" ht="18" customHeight="1">
      <c r="A902" s="2"/>
    </row>
    <row r="903" spans="1:1" ht="18" customHeight="1">
      <c r="A903" s="2"/>
    </row>
    <row r="904" spans="1:1" ht="18" customHeight="1">
      <c r="A904" s="2"/>
    </row>
    <row r="905" spans="1:1" ht="18" customHeight="1">
      <c r="A905" s="2"/>
    </row>
    <row r="906" spans="1:1" ht="18" customHeight="1">
      <c r="A906" s="2"/>
    </row>
    <row r="907" spans="1:1" ht="18" customHeight="1">
      <c r="A907" s="2"/>
    </row>
    <row r="908" spans="1:1" ht="18" customHeight="1">
      <c r="A908" s="2"/>
    </row>
    <row r="909" spans="1:1" ht="18" customHeight="1">
      <c r="A909" s="2"/>
    </row>
    <row r="910" spans="1:1" ht="18" customHeight="1">
      <c r="A910" s="2"/>
    </row>
    <row r="911" spans="1:1" ht="18" customHeight="1">
      <c r="A911" s="2"/>
    </row>
    <row r="912" spans="1:1" ht="18" customHeight="1">
      <c r="A912" s="2"/>
    </row>
    <row r="913" spans="1:1" ht="18" customHeight="1">
      <c r="A913" s="2"/>
    </row>
    <row r="914" spans="1:1" ht="18" customHeight="1">
      <c r="A914" s="2"/>
    </row>
    <row r="915" spans="1:1" ht="18" customHeight="1">
      <c r="A915" s="2"/>
    </row>
    <row r="916" spans="1:1" ht="18" customHeight="1">
      <c r="A916" s="2"/>
    </row>
    <row r="917" spans="1:1" ht="18" customHeight="1">
      <c r="A917" s="2"/>
    </row>
    <row r="918" spans="1:1" ht="18" customHeight="1">
      <c r="A918" s="2"/>
    </row>
    <row r="919" spans="1:1" ht="18" customHeight="1">
      <c r="A919" s="2"/>
    </row>
    <row r="920" spans="1:1" ht="18" customHeight="1">
      <c r="A920" s="2"/>
    </row>
    <row r="921" spans="1:1" ht="18" customHeight="1">
      <c r="A921" s="2"/>
    </row>
    <row r="922" spans="1:1" ht="18" customHeight="1">
      <c r="A922" s="2"/>
    </row>
    <row r="923" spans="1:1" ht="18" customHeight="1">
      <c r="A923" s="2"/>
    </row>
    <row r="924" spans="1:1" ht="18" customHeight="1">
      <c r="A924" s="2"/>
    </row>
    <row r="925" spans="1:1" ht="18" customHeight="1">
      <c r="A925" s="2"/>
    </row>
    <row r="926" spans="1:1" ht="18" customHeight="1">
      <c r="A926" s="2"/>
    </row>
    <row r="927" spans="1:1" ht="18" customHeight="1">
      <c r="A927" s="2"/>
    </row>
    <row r="928" spans="1:1" ht="18" customHeight="1">
      <c r="A928" s="2"/>
    </row>
    <row r="929" spans="1:1" ht="18" customHeight="1">
      <c r="A929" s="2"/>
    </row>
    <row r="930" spans="1:1" ht="18" customHeight="1">
      <c r="A930" s="2"/>
    </row>
    <row r="931" spans="1:1" ht="18" customHeight="1">
      <c r="A931" s="2"/>
    </row>
    <row r="932" spans="1:1" ht="18" customHeight="1">
      <c r="A932" s="2"/>
    </row>
    <row r="933" spans="1:1" ht="18" customHeight="1">
      <c r="A933" s="2"/>
    </row>
    <row r="934" spans="1:1" ht="18" customHeight="1">
      <c r="A934" s="2"/>
    </row>
    <row r="935" spans="1:1" ht="18" customHeight="1">
      <c r="A935" s="2"/>
    </row>
    <row r="936" spans="1:1" ht="18" customHeight="1">
      <c r="A936" s="2"/>
    </row>
    <row r="937" spans="1:1" ht="18" customHeight="1">
      <c r="A937" s="2"/>
    </row>
    <row r="938" spans="1:1" ht="18" customHeight="1">
      <c r="A938" s="2"/>
    </row>
    <row r="939" spans="1:1" ht="18" customHeight="1">
      <c r="A939" s="2"/>
    </row>
    <row r="940" spans="1:1" ht="18" customHeight="1">
      <c r="A940" s="2"/>
    </row>
    <row r="941" spans="1:1" ht="18" customHeight="1">
      <c r="A941" s="2"/>
    </row>
    <row r="942" spans="1:1" ht="18" customHeight="1">
      <c r="A942" s="2"/>
    </row>
    <row r="943" spans="1:1" ht="18" customHeight="1">
      <c r="A943" s="2"/>
    </row>
    <row r="944" spans="1:1" ht="18" customHeight="1">
      <c r="A944" s="2"/>
    </row>
    <row r="945" spans="1:1" ht="18" customHeight="1">
      <c r="A945" s="2"/>
    </row>
    <row r="946" spans="1:1" ht="18" customHeight="1">
      <c r="A946" s="2"/>
    </row>
    <row r="947" spans="1:1" ht="18" customHeight="1">
      <c r="A947" s="2"/>
    </row>
    <row r="948" spans="1:1" ht="18" customHeight="1">
      <c r="A948" s="2"/>
    </row>
    <row r="949" spans="1:1" ht="18" customHeight="1">
      <c r="A949" s="2"/>
    </row>
    <row r="950" spans="1:1" ht="18" customHeight="1">
      <c r="A950" s="2"/>
    </row>
    <row r="951" spans="1:1" ht="18" customHeight="1">
      <c r="A951" s="2"/>
    </row>
    <row r="952" spans="1:1" ht="18" customHeight="1">
      <c r="A952" s="2"/>
    </row>
    <row r="953" spans="1:1" ht="18" customHeight="1">
      <c r="A953" s="2"/>
    </row>
    <row r="954" spans="1:1" ht="18" customHeight="1">
      <c r="A954" s="2"/>
    </row>
    <row r="955" spans="1:1" ht="18" customHeight="1">
      <c r="A955" s="2"/>
    </row>
    <row r="956" spans="1:1" ht="18" customHeight="1">
      <c r="A956" s="2"/>
    </row>
    <row r="957" spans="1:1" ht="18" customHeight="1">
      <c r="A957" s="2"/>
    </row>
    <row r="958" spans="1:1" ht="18" customHeight="1">
      <c r="A958" s="2"/>
    </row>
    <row r="959" spans="1:1" ht="18" customHeight="1">
      <c r="A959" s="2"/>
    </row>
    <row r="960" spans="1:1" ht="18" customHeight="1">
      <c r="A960" s="2"/>
    </row>
    <row r="961" spans="1:1" ht="18" customHeight="1">
      <c r="A961" s="2"/>
    </row>
    <row r="962" spans="1:1" ht="18" customHeight="1">
      <c r="A962" s="2"/>
    </row>
    <row r="963" spans="1:1" ht="18" customHeight="1">
      <c r="A963" s="2"/>
    </row>
    <row r="964" spans="1:1" ht="18" customHeight="1">
      <c r="A964" s="2"/>
    </row>
    <row r="965" spans="1:1" ht="18" customHeight="1">
      <c r="A965" s="2"/>
    </row>
    <row r="966" spans="1:1" ht="18" customHeight="1">
      <c r="A966" s="2"/>
    </row>
    <row r="967" spans="1:1" ht="18" customHeight="1">
      <c r="A967" s="2"/>
    </row>
    <row r="968" spans="1:1" ht="18" customHeight="1">
      <c r="A968" s="2"/>
    </row>
    <row r="969" spans="1:1" ht="18" customHeight="1">
      <c r="A969" s="2"/>
    </row>
    <row r="970" spans="1:1" ht="18" customHeight="1">
      <c r="A970" s="2"/>
    </row>
    <row r="971" spans="1:1" ht="18" customHeight="1">
      <c r="A971" s="2"/>
    </row>
    <row r="972" spans="1:1" ht="18" customHeight="1">
      <c r="A972" s="2"/>
    </row>
    <row r="973" spans="1:1" ht="18" customHeight="1">
      <c r="A973" s="2"/>
    </row>
    <row r="974" spans="1:1" ht="18" customHeight="1">
      <c r="A974" s="2"/>
    </row>
    <row r="975" spans="1:1" ht="18" customHeight="1">
      <c r="A975" s="2"/>
    </row>
    <row r="976" spans="1:1" ht="18" customHeight="1">
      <c r="A976" s="2"/>
    </row>
    <row r="977" spans="1:1" ht="18" customHeight="1">
      <c r="A977" s="2"/>
    </row>
    <row r="978" spans="1:1" ht="18" customHeight="1">
      <c r="A978" s="2"/>
    </row>
    <row r="979" spans="1:1" ht="18" customHeight="1">
      <c r="A979" s="2"/>
    </row>
    <row r="980" spans="1:1" ht="18" customHeight="1">
      <c r="A980" s="2"/>
    </row>
    <row r="981" spans="1:1" ht="18" customHeight="1">
      <c r="A981" s="2"/>
    </row>
    <row r="982" spans="1:1" ht="18" customHeight="1">
      <c r="A982" s="2"/>
    </row>
    <row r="983" spans="1:1" ht="18" customHeight="1">
      <c r="A983" s="2"/>
    </row>
    <row r="984" spans="1:1" ht="18" customHeight="1">
      <c r="A984" s="2"/>
    </row>
    <row r="985" spans="1:1" ht="18" customHeight="1">
      <c r="A985" s="2"/>
    </row>
    <row r="986" spans="1:1" ht="18" customHeight="1">
      <c r="A986" s="2"/>
    </row>
    <row r="987" spans="1:1" ht="18" customHeight="1">
      <c r="A987" s="2"/>
    </row>
    <row r="988" spans="1:1" ht="18" customHeight="1">
      <c r="A988" s="2"/>
    </row>
    <row r="989" spans="1:1" ht="18" customHeight="1">
      <c r="A989" s="2"/>
    </row>
    <row r="990" spans="1:1" ht="18" customHeight="1">
      <c r="A990" s="2"/>
    </row>
    <row r="991" spans="1:1" ht="18" customHeight="1">
      <c r="A991" s="2"/>
    </row>
    <row r="992" spans="1:1" ht="18" customHeight="1">
      <c r="A992" s="2"/>
    </row>
    <row r="993" spans="1:1" ht="18" customHeight="1">
      <c r="A993" s="2"/>
    </row>
    <row r="994" spans="1:1" ht="18" customHeight="1">
      <c r="A994" s="2"/>
    </row>
    <row r="995" spans="1:1" ht="18" customHeight="1">
      <c r="A995" s="2"/>
    </row>
    <row r="996" spans="1:1" ht="18" customHeight="1">
      <c r="A996" s="2"/>
    </row>
    <row r="997" spans="1:1" ht="18" customHeight="1">
      <c r="A997" s="2"/>
    </row>
    <row r="998" spans="1:1" ht="18" customHeight="1">
      <c r="A998" s="2"/>
    </row>
    <row r="999" spans="1:1" ht="18" customHeight="1">
      <c r="A999" s="2"/>
    </row>
    <row r="1000" spans="1:1" ht="18" customHeight="1">
      <c r="A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defaultColWidth="10.08203125" defaultRowHeight="15" customHeight="1"/>
  <cols>
    <col min="1" max="1" width="11.4140625" customWidth="1"/>
    <col min="2" max="2" width="31.08203125" customWidth="1"/>
    <col min="3" max="3" width="19.08203125" customWidth="1"/>
    <col min="4" max="4" width="14.33203125" customWidth="1"/>
    <col min="5" max="5" width="20.33203125" customWidth="1"/>
    <col min="6" max="6" width="21.33203125" customWidth="1"/>
    <col min="7" max="7" width="10.1640625" customWidth="1"/>
    <col min="8" max="8" width="11.6640625" customWidth="1"/>
    <col min="9" max="9" width="9.6640625" customWidth="1"/>
    <col min="10" max="10" width="13" customWidth="1"/>
    <col min="11" max="11" width="12.58203125" customWidth="1"/>
    <col min="12" max="12" width="14.6640625" customWidth="1"/>
    <col min="13" max="13" width="12.6640625" customWidth="1"/>
    <col min="14" max="14" width="19.5" customWidth="1"/>
    <col min="15" max="26" width="8.5" customWidth="1"/>
  </cols>
  <sheetData>
    <row r="1" spans="1:14" ht="18" customHeight="1"/>
    <row r="2" spans="1:14" ht="18" customHeight="1">
      <c r="A2" s="13" t="s">
        <v>1</v>
      </c>
      <c r="B2" s="14" t="s">
        <v>29</v>
      </c>
      <c r="C2" s="14" t="s">
        <v>30</v>
      </c>
      <c r="D2" s="14" t="s">
        <v>31</v>
      </c>
      <c r="E2" s="14" t="s">
        <v>34</v>
      </c>
      <c r="F2" s="14" t="s">
        <v>35</v>
      </c>
      <c r="G2" s="14" t="s">
        <v>36</v>
      </c>
      <c r="H2" s="14" t="s">
        <v>39</v>
      </c>
      <c r="I2" s="14" t="s">
        <v>42</v>
      </c>
      <c r="J2" s="14" t="s">
        <v>7</v>
      </c>
      <c r="K2" s="14" t="s">
        <v>45</v>
      </c>
      <c r="L2" s="14" t="s">
        <v>47</v>
      </c>
      <c r="M2" s="14" t="s">
        <v>49</v>
      </c>
      <c r="N2" s="14" t="s">
        <v>11</v>
      </c>
    </row>
    <row r="3" spans="1:14" ht="18" customHeight="1">
      <c r="A3" s="15" t="s">
        <v>73</v>
      </c>
      <c r="B3" s="16">
        <v>3.5000000000000003E-2</v>
      </c>
      <c r="C3" s="15">
        <v>49.94292237442923</v>
      </c>
      <c r="D3" s="15">
        <v>54000000</v>
      </c>
      <c r="E3" s="17">
        <v>5949075.8982611252</v>
      </c>
      <c r="F3" s="17">
        <v>848.89781653269483</v>
      </c>
      <c r="G3" s="15">
        <v>0.23</v>
      </c>
      <c r="H3" s="15">
        <v>0</v>
      </c>
      <c r="I3" s="15">
        <v>0</v>
      </c>
      <c r="J3" s="17">
        <v>898.84073890712409</v>
      </c>
      <c r="K3" s="15">
        <v>0.1</v>
      </c>
      <c r="L3" s="15">
        <v>0.89884073890712413</v>
      </c>
      <c r="M3" s="15">
        <v>0</v>
      </c>
      <c r="N3" s="17">
        <v>988.72481279783653</v>
      </c>
    </row>
    <row r="4" spans="1:14" ht="18" customHeight="1">
      <c r="A4" s="15" t="s">
        <v>79</v>
      </c>
      <c r="B4" s="18">
        <v>6.8000000000000005E-2</v>
      </c>
      <c r="C4" s="15">
        <v>97.031963470319639</v>
      </c>
      <c r="D4" s="15">
        <v>66600000</v>
      </c>
      <c r="E4" s="17">
        <v>7337193.607855388</v>
      </c>
      <c r="F4" s="17">
        <v>1046.9739737236569</v>
      </c>
      <c r="G4" s="15">
        <v>0.35</v>
      </c>
      <c r="H4" s="15">
        <v>0</v>
      </c>
      <c r="I4" s="15">
        <v>0</v>
      </c>
      <c r="J4" s="17">
        <v>1144.0059371939765</v>
      </c>
      <c r="K4" s="15">
        <v>0.2</v>
      </c>
      <c r="L4" s="15">
        <v>1.1440059371939766</v>
      </c>
      <c r="M4" s="15">
        <v>0</v>
      </c>
      <c r="N4" s="17">
        <v>1372.8071246327718</v>
      </c>
    </row>
    <row r="5" spans="1:14" ht="18" customHeight="1">
      <c r="A5" s="15" t="s">
        <v>84</v>
      </c>
      <c r="B5" s="16">
        <v>0.375</v>
      </c>
      <c r="C5" s="15">
        <v>535.10273972602738</v>
      </c>
      <c r="D5" s="15">
        <v>107000000</v>
      </c>
      <c r="E5" s="17">
        <v>11787983.72433223</v>
      </c>
      <c r="F5" s="17">
        <v>1682.075303129599</v>
      </c>
      <c r="G5" s="15">
        <v>0.8</v>
      </c>
      <c r="H5" s="15">
        <v>0</v>
      </c>
      <c r="I5" s="15">
        <v>0</v>
      </c>
      <c r="J5" s="17">
        <v>2217.1780428556262</v>
      </c>
      <c r="K5" s="15">
        <v>0.2</v>
      </c>
      <c r="L5" s="15">
        <v>2.2171780428556263</v>
      </c>
      <c r="M5" s="15">
        <v>0</v>
      </c>
      <c r="N5" s="17">
        <v>2660.6136514267514</v>
      </c>
    </row>
    <row r="6" spans="1:14" ht="18" customHeight="1">
      <c r="A6" s="15" t="s">
        <v>15</v>
      </c>
      <c r="B6" s="16">
        <v>0.22333333333333336</v>
      </c>
      <c r="C6" s="15">
        <v>318.6834094368341</v>
      </c>
      <c r="D6" s="15">
        <v>86000000</v>
      </c>
      <c r="E6" s="17">
        <v>9474454.2083417922</v>
      </c>
      <c r="F6" s="17">
        <v>1351.9483744779955</v>
      </c>
      <c r="G6" s="15">
        <v>0.35</v>
      </c>
      <c r="H6" s="15">
        <v>1712.9120879120878</v>
      </c>
      <c r="I6" s="15">
        <v>0</v>
      </c>
      <c r="J6" s="17">
        <v>3383.5438718269174</v>
      </c>
      <c r="K6" s="15">
        <v>0.1</v>
      </c>
      <c r="L6" s="17">
        <v>1.6706317839148297</v>
      </c>
      <c r="M6" s="15">
        <v>1.7129120879120878</v>
      </c>
      <c r="N6" s="17">
        <v>3721.8982590096093</v>
      </c>
    </row>
    <row r="7" spans="1:14" ht="18" customHeight="1">
      <c r="A7" s="15" t="s">
        <v>15</v>
      </c>
      <c r="B7" s="16">
        <v>0.27</v>
      </c>
      <c r="C7" s="15">
        <v>385.27397260273972</v>
      </c>
      <c r="D7" s="15">
        <v>92000000</v>
      </c>
      <c r="E7" s="17">
        <v>10135462.641481917</v>
      </c>
      <c r="F7" s="17">
        <v>1446.2703540927394</v>
      </c>
      <c r="G7" s="15">
        <v>0.32</v>
      </c>
      <c r="H7" s="15">
        <v>1873.497596153846</v>
      </c>
      <c r="I7" s="15">
        <v>0</v>
      </c>
      <c r="J7" s="17">
        <v>3705.0419228493247</v>
      </c>
      <c r="K7" s="15">
        <v>0.1</v>
      </c>
      <c r="L7" s="17">
        <v>1.831544326695479</v>
      </c>
      <c r="M7" s="15">
        <v>1.873497596153846</v>
      </c>
      <c r="N7" s="17">
        <v>4075.546115134257</v>
      </c>
    </row>
    <row r="8" spans="1:14" ht="18" customHeight="1">
      <c r="A8" s="15" t="s">
        <v>97</v>
      </c>
      <c r="B8" s="16">
        <v>0.34499999999999997</v>
      </c>
      <c r="C8" s="15">
        <v>492.29452054794513</v>
      </c>
      <c r="D8" s="15">
        <v>190000000</v>
      </c>
      <c r="E8" s="17">
        <v>20931933.71610396</v>
      </c>
      <c r="F8" s="17">
        <v>2986.8626878002224</v>
      </c>
      <c r="G8" s="15">
        <v>0.45</v>
      </c>
      <c r="H8" s="15">
        <v>0</v>
      </c>
      <c r="I8" s="15">
        <v>0</v>
      </c>
      <c r="J8" s="17">
        <v>3479.1572083481674</v>
      </c>
      <c r="K8" s="15">
        <v>0.2</v>
      </c>
      <c r="L8" s="15">
        <v>3.4791572083481674</v>
      </c>
      <c r="M8" s="15">
        <v>0</v>
      </c>
      <c r="N8" s="17">
        <v>4174.9886500178009</v>
      </c>
    </row>
    <row r="9" spans="1:14" ht="18" customHeight="1">
      <c r="A9" s="15" t="s">
        <v>102</v>
      </c>
      <c r="B9" s="16">
        <v>0.18000000000000002</v>
      </c>
      <c r="C9" s="15">
        <v>256.84931506849318</v>
      </c>
      <c r="D9" s="15">
        <v>50000000</v>
      </c>
      <c r="E9" s="17">
        <v>5508403.6095010415</v>
      </c>
      <c r="F9" s="17">
        <v>786.0164967895322</v>
      </c>
      <c r="G9" s="15">
        <v>0.38</v>
      </c>
      <c r="H9" s="15">
        <v>2784.7698744769873</v>
      </c>
      <c r="I9" s="15">
        <v>0</v>
      </c>
      <c r="J9" s="17">
        <v>3827.6356863350125</v>
      </c>
      <c r="K9" s="15">
        <v>0.15</v>
      </c>
      <c r="L9" s="17">
        <v>1.0428658118580254</v>
      </c>
      <c r="M9" s="15">
        <v>2.7847698744769871</v>
      </c>
      <c r="N9" s="17">
        <v>4401.7810392852643</v>
      </c>
    </row>
    <row r="10" spans="1:14" ht="18" customHeight="1"/>
    <row r="11" spans="1:14" ht="18" customHeight="1"/>
    <row r="12" spans="1:14" ht="18" customHeight="1"/>
    <row r="13" spans="1:14" ht="18" customHeight="1"/>
    <row r="14" spans="1:14" ht="18" customHeight="1"/>
    <row r="15" spans="1:14" ht="18" customHeight="1"/>
    <row r="16" spans="1:14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customSheetViews>
    <customSheetView guid="{4B963B50-4679-4241-9BF5-629127B52858}" filter="1" showAutoFilter="1">
      <pageMargins left="0.7" right="0.7" top="0.75" bottom="0.75" header="0.3" footer="0.3"/>
      <autoFilter ref="A2:N9" xr:uid="{ADCCB044-734D-4C81-805D-02E626E7F6C5}"/>
      <extLst>
        <ext uri="GoogleSheetsCustomDataVersion1">
          <go:sheetsCustomData xmlns:go="http://customooxmlschemas.google.com/" filterViewId="136946402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H1000"/>
  <sheetViews>
    <sheetView workbookViewId="0">
      <pane ySplit="4" topLeftCell="A5" activePane="bottomLeft" state="frozen"/>
      <selection pane="bottomLeft" activeCell="B6" sqref="B6"/>
    </sheetView>
  </sheetViews>
  <sheetFormatPr defaultColWidth="10.08203125" defaultRowHeight="15" customHeight="1"/>
  <cols>
    <col min="1" max="1" width="21.6640625" customWidth="1"/>
    <col min="2" max="2" width="18.58203125" customWidth="1"/>
    <col min="3" max="3" width="21.4140625" customWidth="1"/>
    <col min="4" max="4" width="18.83203125" customWidth="1"/>
    <col min="5" max="5" width="17.6640625" customWidth="1"/>
    <col min="6" max="6" width="16.6640625" customWidth="1"/>
    <col min="7" max="26" width="8.5" customWidth="1"/>
  </cols>
  <sheetData>
    <row r="1" spans="1:8" ht="18" customHeight="1">
      <c r="A1" s="22" t="s">
        <v>161</v>
      </c>
      <c r="B1" s="47" t="s">
        <v>163</v>
      </c>
      <c r="C1" s="48"/>
      <c r="D1" s="48"/>
      <c r="E1" s="48"/>
      <c r="F1" s="48"/>
      <c r="G1" s="48"/>
      <c r="H1" s="49"/>
    </row>
    <row r="2" spans="1:8" ht="18" customHeight="1"/>
    <row r="3" spans="1:8" ht="18" customHeight="1">
      <c r="A3" s="50" t="s">
        <v>1</v>
      </c>
      <c r="B3" s="50" t="s">
        <v>6</v>
      </c>
      <c r="C3" s="50" t="s">
        <v>8</v>
      </c>
      <c r="D3" s="53"/>
      <c r="E3" s="54"/>
      <c r="F3" s="55"/>
      <c r="G3" s="3"/>
    </row>
    <row r="4" spans="1:8" ht="18" customHeight="1">
      <c r="A4" s="51"/>
      <c r="B4" s="52"/>
      <c r="C4" s="52"/>
      <c r="D4" s="23" t="s">
        <v>174</v>
      </c>
      <c r="E4" s="23" t="s">
        <v>175</v>
      </c>
      <c r="F4" s="23" t="s">
        <v>176</v>
      </c>
      <c r="G4" s="24" t="s">
        <v>177</v>
      </c>
    </row>
    <row r="5" spans="1:8" ht="18" customHeight="1">
      <c r="A5" s="25" t="s">
        <v>180</v>
      </c>
      <c r="B5" s="26">
        <v>9.1999999999999993</v>
      </c>
      <c r="C5" s="27">
        <v>0.27</v>
      </c>
      <c r="D5" s="26">
        <v>25000</v>
      </c>
      <c r="E5" s="26">
        <v>30000</v>
      </c>
      <c r="F5" s="26">
        <v>52000</v>
      </c>
      <c r="G5" s="26"/>
    </row>
    <row r="6" spans="1:8" ht="18" customHeight="1">
      <c r="A6" s="25" t="s">
        <v>183</v>
      </c>
      <c r="B6" s="26">
        <v>8.3000000000000007</v>
      </c>
      <c r="C6" s="27">
        <v>0.2</v>
      </c>
      <c r="D6" s="26">
        <v>25000</v>
      </c>
      <c r="E6" s="26">
        <v>30000</v>
      </c>
      <c r="F6" s="26">
        <v>52000</v>
      </c>
      <c r="G6" s="26"/>
    </row>
    <row r="7" spans="1:8" ht="18" customHeight="1">
      <c r="A7" s="25" t="s">
        <v>186</v>
      </c>
      <c r="B7" s="26">
        <v>8.4</v>
      </c>
      <c r="C7" s="27">
        <v>0.2</v>
      </c>
      <c r="D7" s="26" t="s">
        <v>188</v>
      </c>
      <c r="E7" s="26" t="s">
        <v>188</v>
      </c>
      <c r="F7" s="26" t="s">
        <v>188</v>
      </c>
      <c r="G7" s="26" t="s">
        <v>188</v>
      </c>
    </row>
    <row r="8" spans="1:8" ht="18" customHeight="1">
      <c r="A8" s="28" t="s">
        <v>190</v>
      </c>
      <c r="B8" s="29">
        <v>5</v>
      </c>
      <c r="C8" s="29">
        <v>0.18</v>
      </c>
      <c r="D8" s="29">
        <v>2473</v>
      </c>
      <c r="E8" s="29" t="s">
        <v>188</v>
      </c>
      <c r="F8" s="29" t="s">
        <v>188</v>
      </c>
      <c r="G8" s="29" t="s">
        <v>188</v>
      </c>
    </row>
    <row r="9" spans="1:8" ht="18" customHeight="1">
      <c r="A9" s="28" t="s">
        <v>194</v>
      </c>
      <c r="B9" s="29">
        <v>3.47</v>
      </c>
      <c r="C9" s="29">
        <v>0.28999999999999998</v>
      </c>
      <c r="D9" s="29">
        <v>1556</v>
      </c>
      <c r="E9" s="29">
        <v>7782</v>
      </c>
      <c r="F9" s="29">
        <v>12451</v>
      </c>
      <c r="G9" s="29">
        <v>0.21</v>
      </c>
    </row>
    <row r="10" spans="1:8" ht="18" customHeight="1">
      <c r="A10" s="29" t="s">
        <v>197</v>
      </c>
      <c r="B10" s="29">
        <v>4.0999999999999996</v>
      </c>
      <c r="C10" s="29">
        <v>7.0000000000000007E-2</v>
      </c>
      <c r="D10" s="29" t="s">
        <v>188</v>
      </c>
      <c r="E10" s="29" t="s">
        <v>188</v>
      </c>
      <c r="F10" s="29" t="s">
        <v>188</v>
      </c>
      <c r="G10" s="29">
        <v>557</v>
      </c>
    </row>
    <row r="11" spans="1:8" ht="18" customHeight="1">
      <c r="A11" s="30" t="s">
        <v>199</v>
      </c>
      <c r="B11" s="30">
        <v>5</v>
      </c>
      <c r="C11" s="30">
        <v>0.1</v>
      </c>
      <c r="D11" s="30">
        <v>2217</v>
      </c>
      <c r="E11" s="30">
        <v>3325</v>
      </c>
      <c r="F11" s="30">
        <v>4433</v>
      </c>
      <c r="G11" s="30"/>
    </row>
    <row r="12" spans="1:8" ht="18" customHeight="1">
      <c r="A12" s="25" t="s">
        <v>202</v>
      </c>
      <c r="B12" s="26">
        <v>6.66</v>
      </c>
      <c r="C12" s="26">
        <v>6.8000000000000005E-2</v>
      </c>
      <c r="D12" s="26" t="s">
        <v>188</v>
      </c>
      <c r="E12" s="26" t="s">
        <v>188</v>
      </c>
      <c r="F12" s="26" t="s">
        <v>188</v>
      </c>
      <c r="G12" s="26">
        <v>240</v>
      </c>
    </row>
    <row r="13" spans="1:8" ht="18" customHeight="1">
      <c r="A13" s="25" t="s">
        <v>205</v>
      </c>
      <c r="B13" s="26">
        <v>23.1</v>
      </c>
      <c r="C13" s="26">
        <v>0.67400000000000004</v>
      </c>
      <c r="D13" s="26" t="s">
        <v>188</v>
      </c>
      <c r="E13" s="26" t="s">
        <v>188</v>
      </c>
      <c r="F13" s="26" t="s">
        <v>188</v>
      </c>
      <c r="G13" s="26" t="s">
        <v>188</v>
      </c>
    </row>
    <row r="14" spans="1:8" ht="18" customHeight="1">
      <c r="A14" s="28" t="s">
        <v>208</v>
      </c>
      <c r="B14" s="29">
        <v>5.4</v>
      </c>
      <c r="C14" s="29">
        <v>3.5000000000000003E-2</v>
      </c>
      <c r="D14" s="29"/>
      <c r="E14" s="29"/>
      <c r="F14" s="29"/>
      <c r="G14" s="29"/>
    </row>
    <row r="15" spans="1:8" ht="18" customHeight="1">
      <c r="A15" s="28" t="s">
        <v>210</v>
      </c>
      <c r="B15" s="29">
        <v>3.9</v>
      </c>
      <c r="C15" s="29">
        <v>5.0999999999999997E-2</v>
      </c>
      <c r="D15" s="29"/>
      <c r="E15" s="29"/>
      <c r="F15" s="29"/>
      <c r="G15" s="29"/>
    </row>
    <row r="16" spans="1:8" ht="18" customHeight="1">
      <c r="A16" s="25" t="s">
        <v>218</v>
      </c>
      <c r="B16" s="26">
        <v>10.7</v>
      </c>
      <c r="C16" s="26">
        <v>0.44</v>
      </c>
      <c r="D16" s="26"/>
      <c r="E16" s="26"/>
      <c r="F16" s="26"/>
      <c r="G16" s="26"/>
    </row>
    <row r="17" spans="1:7" ht="18" customHeight="1">
      <c r="A17" s="25" t="s">
        <v>224</v>
      </c>
      <c r="B17" s="26">
        <v>11.9</v>
      </c>
      <c r="C17" s="26">
        <v>0.41</v>
      </c>
      <c r="D17" s="26"/>
      <c r="E17" s="26"/>
      <c r="F17" s="26"/>
      <c r="G17" s="26"/>
    </row>
    <row r="18" spans="1:7" ht="18" customHeight="1">
      <c r="A18" s="32" t="s">
        <v>230</v>
      </c>
      <c r="B18" s="26">
        <v>8.0399999999999991</v>
      </c>
      <c r="C18" s="26">
        <v>0.24</v>
      </c>
      <c r="D18" s="26"/>
      <c r="E18" s="26"/>
      <c r="F18" s="26"/>
      <c r="G18" s="26"/>
    </row>
    <row r="19" spans="1:7" ht="18" customHeight="1">
      <c r="A19" s="25" t="s">
        <v>235</v>
      </c>
      <c r="B19" s="26">
        <v>8.3000000000000007</v>
      </c>
      <c r="C19" s="26">
        <v>0.91</v>
      </c>
      <c r="D19" s="26"/>
      <c r="E19" s="26"/>
      <c r="F19" s="26"/>
      <c r="G19" s="26"/>
    </row>
    <row r="20" spans="1:7" ht="18" customHeight="1">
      <c r="A20" s="25" t="s">
        <v>237</v>
      </c>
      <c r="B20" s="26">
        <v>6</v>
      </c>
      <c r="C20" s="26">
        <v>0.15</v>
      </c>
      <c r="D20" s="26"/>
      <c r="E20" s="26"/>
      <c r="F20" s="26"/>
      <c r="G20" s="26"/>
    </row>
    <row r="21" spans="1:7" ht="18" customHeight="1">
      <c r="A21" s="25" t="s">
        <v>238</v>
      </c>
      <c r="B21" s="26">
        <v>3.85</v>
      </c>
      <c r="C21" s="26">
        <v>0.1</v>
      </c>
      <c r="D21" s="26"/>
      <c r="E21" s="26"/>
      <c r="F21" s="26"/>
      <c r="G21" s="26"/>
    </row>
    <row r="22" spans="1:7" ht="18" customHeight="1">
      <c r="A22" s="28" t="s">
        <v>240</v>
      </c>
      <c r="B22" s="29">
        <v>11.7</v>
      </c>
      <c r="C22" s="29">
        <v>0.43</v>
      </c>
      <c r="D22" s="29"/>
      <c r="E22" s="29"/>
      <c r="F22" s="29"/>
      <c r="G22" s="29"/>
    </row>
    <row r="23" spans="1:7" ht="18" customHeight="1">
      <c r="A23" s="28" t="s">
        <v>241</v>
      </c>
      <c r="B23" s="29">
        <v>19</v>
      </c>
      <c r="C23" s="29">
        <v>0.26</v>
      </c>
      <c r="D23" s="29"/>
      <c r="E23" s="29"/>
      <c r="F23" s="29"/>
      <c r="G23" s="29"/>
    </row>
    <row r="24" spans="1:7" ht="18" customHeight="1">
      <c r="A24" s="25" t="s">
        <v>242</v>
      </c>
      <c r="B24" s="26"/>
      <c r="C24" s="26">
        <v>0.08</v>
      </c>
      <c r="D24" s="26"/>
      <c r="E24" s="26"/>
      <c r="F24" s="26"/>
      <c r="G24" s="26">
        <v>500</v>
      </c>
    </row>
    <row r="25" spans="1:7" ht="18" customHeight="1"/>
    <row r="26" spans="1:7" ht="18" customHeight="1"/>
    <row r="27" spans="1:7" ht="18" customHeight="1"/>
    <row r="28" spans="1:7" ht="18" customHeight="1"/>
    <row r="29" spans="1:7" ht="18" customHeight="1"/>
    <row r="30" spans="1:7" ht="18" customHeight="1"/>
    <row r="31" spans="1:7" ht="18" customHeight="1"/>
    <row r="32" spans="1:7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5">
    <mergeCell ref="B1:H1"/>
    <mergeCell ref="A3:A4"/>
    <mergeCell ref="B3:B4"/>
    <mergeCell ref="C3:C4"/>
    <mergeCell ref="D3:F3"/>
  </mergeCells>
  <hyperlinks>
    <hyperlink ref="B1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F2D0"/>
  </sheetPr>
  <dimension ref="A1:H1000"/>
  <sheetViews>
    <sheetView workbookViewId="0"/>
  </sheetViews>
  <sheetFormatPr defaultColWidth="10.08203125" defaultRowHeight="15" customHeight="1"/>
  <cols>
    <col min="1" max="1" width="14.33203125" customWidth="1"/>
    <col min="2" max="26" width="8.5" customWidth="1"/>
  </cols>
  <sheetData>
    <row r="1" spans="1:8" ht="18" customHeight="1">
      <c r="A1" s="1" t="s">
        <v>211</v>
      </c>
      <c r="C1" s="1" t="s">
        <v>212</v>
      </c>
    </row>
    <row r="2" spans="1:8" ht="18" customHeight="1">
      <c r="A2" s="1" t="s">
        <v>214</v>
      </c>
      <c r="B2" s="31">
        <v>45778</v>
      </c>
    </row>
    <row r="3" spans="1:8" ht="18" customHeight="1">
      <c r="A3" s="1" t="s">
        <v>215</v>
      </c>
      <c r="B3" s="1">
        <f>SUM(B4:B7)</f>
        <v>172.37</v>
      </c>
    </row>
    <row r="4" spans="1:8" ht="18" customHeight="1">
      <c r="A4" s="1" t="s">
        <v>73</v>
      </c>
      <c r="B4" s="1">
        <v>105.65</v>
      </c>
      <c r="C4" s="1" t="s">
        <v>219</v>
      </c>
    </row>
    <row r="5" spans="1:8" ht="18" customHeight="1">
      <c r="A5" s="1" t="s">
        <v>220</v>
      </c>
      <c r="B5" s="1">
        <v>11.58</v>
      </c>
      <c r="C5" s="1" t="s">
        <v>219</v>
      </c>
    </row>
    <row r="6" spans="1:8" ht="18" customHeight="1">
      <c r="A6" s="1" t="s">
        <v>79</v>
      </c>
      <c r="B6" s="1">
        <v>50.04</v>
      </c>
      <c r="C6" s="1" t="s">
        <v>219</v>
      </c>
    </row>
    <row r="7" spans="1:8" ht="18" customHeight="1">
      <c r="A7" s="1" t="s">
        <v>222</v>
      </c>
      <c r="B7" s="1">
        <v>5.0999999999999996</v>
      </c>
      <c r="C7" s="1" t="s">
        <v>219</v>
      </c>
    </row>
    <row r="8" spans="1:8" ht="18" customHeight="1"/>
    <row r="9" spans="1:8" ht="18" customHeight="1"/>
    <row r="10" spans="1:8" ht="18" customHeight="1">
      <c r="A10" s="1" t="s">
        <v>223</v>
      </c>
      <c r="B10" s="1">
        <v>155.69</v>
      </c>
    </row>
    <row r="11" spans="1:8" ht="18" customHeight="1">
      <c r="A11" s="1" t="s">
        <v>225</v>
      </c>
      <c r="B11" s="1">
        <f>B4/B6</f>
        <v>2.1113109512390089</v>
      </c>
    </row>
    <row r="12" spans="1:8" ht="18" customHeight="1"/>
    <row r="13" spans="1:8" ht="18" customHeight="1">
      <c r="A13" s="1" t="s">
        <v>226</v>
      </c>
      <c r="B13" s="1">
        <v>297.12799999999999</v>
      </c>
      <c r="C13" s="1" t="s">
        <v>227</v>
      </c>
    </row>
    <row r="14" spans="1:8" ht="18" customHeight="1">
      <c r="A14" s="1" t="s">
        <v>228</v>
      </c>
      <c r="B14" s="1">
        <f>B11</f>
        <v>2.1113109512390089</v>
      </c>
    </row>
    <row r="15" spans="1:8" ht="18" customHeight="1">
      <c r="A15" s="1" t="s">
        <v>231</v>
      </c>
      <c r="H15" s="31"/>
    </row>
    <row r="16" spans="1:8" ht="18" customHeight="1">
      <c r="A16" s="1" t="s">
        <v>232</v>
      </c>
    </row>
    <row r="17" spans="1:3" ht="18" customHeight="1">
      <c r="A17" s="1" t="s">
        <v>233</v>
      </c>
    </row>
    <row r="18" spans="1:3" ht="18" customHeight="1"/>
    <row r="19" spans="1:3" ht="18" customHeight="1">
      <c r="A19" s="22" t="s">
        <v>234</v>
      </c>
      <c r="B19" s="22">
        <f>B13/(B14+1)</f>
        <v>95.499294238550959</v>
      </c>
      <c r="C19" s="22" t="s">
        <v>227</v>
      </c>
    </row>
    <row r="20" spans="1:3" ht="18" customHeight="1">
      <c r="A20" s="22" t="s">
        <v>232</v>
      </c>
      <c r="B20" s="22">
        <f>B13-B19</f>
        <v>201.62870576144903</v>
      </c>
      <c r="C20" s="22" t="s">
        <v>227</v>
      </c>
    </row>
    <row r="21" spans="1:3" ht="18" customHeight="1"/>
    <row r="22" spans="1:3" ht="18" customHeight="1"/>
    <row r="23" spans="1:3" ht="18" customHeight="1"/>
    <row r="24" spans="1:3" ht="18" customHeight="1"/>
    <row r="25" spans="1:3" ht="18" customHeight="1"/>
    <row r="26" spans="1:3" ht="18" customHeight="1"/>
    <row r="27" spans="1:3" ht="18" customHeight="1"/>
    <row r="28" spans="1:3" ht="18" customHeight="1"/>
    <row r="29" spans="1:3" ht="18" customHeight="1"/>
    <row r="30" spans="1:3" ht="18" customHeight="1"/>
    <row r="31" spans="1:3" ht="18" customHeight="1"/>
    <row r="32" spans="1:3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F2D0"/>
  </sheetPr>
  <dimension ref="A1:N1000"/>
  <sheetViews>
    <sheetView workbookViewId="0">
      <selection activeCell="G10" sqref="G10"/>
    </sheetView>
  </sheetViews>
  <sheetFormatPr defaultColWidth="10.08203125" defaultRowHeight="15" customHeight="1"/>
  <cols>
    <col min="1" max="3" width="8.5" customWidth="1"/>
    <col min="4" max="4" width="31.6640625" customWidth="1"/>
    <col min="5" max="7" width="8.5" customWidth="1"/>
    <col min="8" max="8" width="32.33203125" customWidth="1"/>
    <col min="9" max="26" width="8.5" customWidth="1"/>
  </cols>
  <sheetData>
    <row r="1" spans="1:14" ht="18" customHeight="1">
      <c r="A1" s="1" t="s">
        <v>211</v>
      </c>
      <c r="C1" s="34" t="s">
        <v>244</v>
      </c>
    </row>
    <row r="2" spans="1:14" ht="18" customHeight="1">
      <c r="C2" s="34" t="s">
        <v>247</v>
      </c>
    </row>
    <row r="3" spans="1:14" ht="18" customHeight="1">
      <c r="B3" s="1" t="s">
        <v>249</v>
      </c>
      <c r="C3" s="1" t="s">
        <v>249</v>
      </c>
    </row>
    <row r="4" spans="1:14" ht="18" customHeight="1">
      <c r="A4" s="36" t="s">
        <v>252</v>
      </c>
      <c r="B4" s="37">
        <v>46143</v>
      </c>
      <c r="C4" s="37">
        <v>46174</v>
      </c>
      <c r="D4" s="26" t="s">
        <v>254</v>
      </c>
      <c r="F4" s="1" t="s">
        <v>256</v>
      </c>
      <c r="H4" s="1" t="s">
        <v>258</v>
      </c>
      <c r="I4" s="1" t="s">
        <v>254</v>
      </c>
    </row>
    <row r="5" spans="1:14" ht="18" customHeight="1">
      <c r="A5" s="26" t="s">
        <v>259</v>
      </c>
      <c r="B5" s="26">
        <v>11228</v>
      </c>
      <c r="C5" s="26">
        <v>10701</v>
      </c>
      <c r="D5" s="26" t="s">
        <v>263</v>
      </c>
      <c r="F5" s="1" t="s">
        <v>264</v>
      </c>
      <c r="H5" s="1">
        <v>5200</v>
      </c>
      <c r="I5" s="1" t="s">
        <v>254</v>
      </c>
      <c r="K5" s="1" t="s">
        <v>266</v>
      </c>
      <c r="N5" s="1" t="s">
        <v>267</v>
      </c>
    </row>
    <row r="6" spans="1:14" ht="18" customHeight="1">
      <c r="A6" s="26" t="s">
        <v>268</v>
      </c>
      <c r="B6" s="26">
        <v>7014</v>
      </c>
      <c r="C6" s="26">
        <v>7280</v>
      </c>
      <c r="D6" s="26"/>
      <c r="F6" s="1" t="s">
        <v>264</v>
      </c>
      <c r="H6" s="1">
        <f>H5*1000/860000</f>
        <v>6.0465116279069768</v>
      </c>
      <c r="I6" s="1" t="s">
        <v>270</v>
      </c>
    </row>
    <row r="7" spans="1:14" ht="18" customHeight="1">
      <c r="A7" s="26" t="s">
        <v>271</v>
      </c>
      <c r="B7" s="26">
        <v>6610</v>
      </c>
      <c r="C7" s="26">
        <v>6882</v>
      </c>
      <c r="D7" s="26"/>
    </row>
    <row r="8" spans="1:14" ht="18" customHeight="1">
      <c r="A8" s="26" t="s">
        <v>273</v>
      </c>
      <c r="B8" s="26">
        <v>6502</v>
      </c>
      <c r="C8" s="26">
        <v>6834</v>
      </c>
      <c r="D8" s="26"/>
      <c r="F8" s="3" t="s">
        <v>274</v>
      </c>
      <c r="H8" s="1" t="s">
        <v>275</v>
      </c>
    </row>
    <row r="9" spans="1:14" ht="18" customHeight="1">
      <c r="A9" s="26" t="s">
        <v>276</v>
      </c>
      <c r="B9" s="26">
        <v>6242</v>
      </c>
      <c r="C9" s="26">
        <v>6541</v>
      </c>
      <c r="D9" s="26"/>
      <c r="H9" s="1">
        <f>$C$11/H6</f>
        <v>599.51923076923072</v>
      </c>
      <c r="I9" s="1" t="s">
        <v>278</v>
      </c>
    </row>
    <row r="10" spans="1:14" ht="18" customHeight="1">
      <c r="A10" s="26" t="s">
        <v>279</v>
      </c>
      <c r="B10" s="26">
        <v>5699</v>
      </c>
      <c r="C10" s="26">
        <v>5952</v>
      </c>
      <c r="D10" s="26"/>
    </row>
    <row r="11" spans="1:14" ht="18" customHeight="1">
      <c r="A11" s="26" t="s">
        <v>280</v>
      </c>
      <c r="B11" s="26">
        <v>3483</v>
      </c>
      <c r="C11" s="26">
        <v>3625</v>
      </c>
      <c r="D11" s="26" t="s">
        <v>282</v>
      </c>
    </row>
    <row r="12" spans="1:14" ht="18" customHeight="1">
      <c r="A12" s="26" t="s">
        <v>283</v>
      </c>
      <c r="B12" s="26">
        <v>3224</v>
      </c>
      <c r="C12" s="26">
        <v>3385</v>
      </c>
      <c r="D12" s="26" t="s">
        <v>284</v>
      </c>
      <c r="F12" s="1" t="s">
        <v>264</v>
      </c>
      <c r="H12" s="1">
        <v>5500</v>
      </c>
      <c r="I12" s="1" t="s">
        <v>254</v>
      </c>
    </row>
    <row r="13" spans="1:14" ht="18" customHeight="1">
      <c r="A13" s="26" t="s">
        <v>285</v>
      </c>
      <c r="B13" s="26">
        <v>2837</v>
      </c>
      <c r="C13" s="26">
        <v>2912</v>
      </c>
      <c r="D13" s="38">
        <v>4800</v>
      </c>
      <c r="F13" s="1" t="s">
        <v>264</v>
      </c>
      <c r="H13" s="1">
        <f>H12*1000/860000</f>
        <v>6.3953488372093021</v>
      </c>
      <c r="I13" s="1" t="s">
        <v>270</v>
      </c>
    </row>
    <row r="14" spans="1:14" ht="18" customHeight="1">
      <c r="A14" s="26" t="s">
        <v>287</v>
      </c>
      <c r="B14" s="26">
        <v>2638</v>
      </c>
      <c r="C14" s="26">
        <v>2735</v>
      </c>
      <c r="D14" s="26"/>
    </row>
    <row r="15" spans="1:14" ht="18" customHeight="1">
      <c r="A15" s="26" t="s">
        <v>289</v>
      </c>
      <c r="B15" s="26">
        <v>1969</v>
      </c>
      <c r="C15" s="26">
        <v>2084</v>
      </c>
      <c r="D15" s="26"/>
      <c r="F15" s="3" t="s">
        <v>274</v>
      </c>
      <c r="H15" s="1" t="s">
        <v>275</v>
      </c>
    </row>
    <row r="16" spans="1:14" ht="18" customHeight="1">
      <c r="A16" s="26" t="s">
        <v>291</v>
      </c>
      <c r="B16" s="26">
        <v>1744</v>
      </c>
      <c r="C16" s="26">
        <v>1858</v>
      </c>
      <c r="D16" s="26"/>
      <c r="H16" s="1">
        <f>$C$11/H13</f>
        <v>566.81818181818187</v>
      </c>
      <c r="I16" s="1" t="s">
        <v>278</v>
      </c>
    </row>
    <row r="17" spans="1:9" ht="18" customHeight="1">
      <c r="A17" s="26" t="s">
        <v>292</v>
      </c>
      <c r="B17" s="26">
        <v>1716</v>
      </c>
      <c r="C17" s="26">
        <v>1849</v>
      </c>
      <c r="D17" s="26"/>
      <c r="F17" s="5" t="s">
        <v>294</v>
      </c>
      <c r="H17" s="5">
        <v>4800</v>
      </c>
      <c r="I17" s="1" t="s">
        <v>254</v>
      </c>
    </row>
    <row r="18" spans="1:9" ht="18" customHeight="1">
      <c r="A18" s="26" t="s">
        <v>295</v>
      </c>
      <c r="B18" s="26">
        <v>1429</v>
      </c>
      <c r="C18" s="26">
        <v>1511</v>
      </c>
      <c r="D18" s="26"/>
    </row>
    <row r="19" spans="1:9" ht="18" customHeight="1">
      <c r="A19" s="26" t="s">
        <v>296</v>
      </c>
      <c r="B19" s="26">
        <v>1009</v>
      </c>
      <c r="C19" s="26">
        <v>1009</v>
      </c>
      <c r="D19" s="26"/>
      <c r="F19" s="1" t="s">
        <v>298</v>
      </c>
      <c r="H19" s="1" t="s">
        <v>299</v>
      </c>
      <c r="I19" s="1" t="s">
        <v>254</v>
      </c>
    </row>
    <row r="20" spans="1:9" ht="18" customHeight="1">
      <c r="A20" s="26" t="s">
        <v>300</v>
      </c>
      <c r="B20" s="26">
        <v>753</v>
      </c>
      <c r="C20" s="26">
        <v>753</v>
      </c>
      <c r="D20" s="26"/>
      <c r="F20" s="1" t="s">
        <v>264</v>
      </c>
      <c r="H20" s="1">
        <v>4900</v>
      </c>
      <c r="I20" s="1" t="s">
        <v>254</v>
      </c>
    </row>
    <row r="21" spans="1:9" ht="18" customHeight="1">
      <c r="A21" s="26" t="s">
        <v>302</v>
      </c>
      <c r="B21" s="26">
        <v>669</v>
      </c>
      <c r="C21" s="26">
        <v>669</v>
      </c>
      <c r="D21" s="26"/>
      <c r="F21" s="1" t="s">
        <v>264</v>
      </c>
      <c r="H21" s="1">
        <f>H20*1000/860000</f>
        <v>5.6976744186046515</v>
      </c>
      <c r="I21" s="1" t="s">
        <v>270</v>
      </c>
    </row>
    <row r="22" spans="1:9" ht="18" customHeight="1">
      <c r="A22" s="26" t="s">
        <v>304</v>
      </c>
      <c r="B22" s="26">
        <v>22220</v>
      </c>
      <c r="C22" s="26">
        <v>23153</v>
      </c>
      <c r="D22" s="26"/>
    </row>
    <row r="23" spans="1:9" ht="18" customHeight="1">
      <c r="A23" s="26" t="s">
        <v>305</v>
      </c>
      <c r="B23" s="26">
        <v>20175</v>
      </c>
      <c r="C23" s="26">
        <v>21021</v>
      </c>
      <c r="D23" s="26"/>
      <c r="F23" s="3" t="s">
        <v>274</v>
      </c>
      <c r="H23" s="1" t="s">
        <v>275</v>
      </c>
    </row>
    <row r="24" spans="1:9" ht="18" customHeight="1">
      <c r="A24" s="26" t="s">
        <v>306</v>
      </c>
      <c r="B24" s="26">
        <v>4854</v>
      </c>
      <c r="C24" s="26">
        <v>4762</v>
      </c>
      <c r="D24" s="26"/>
      <c r="H24" s="1">
        <f>$C$12/H21</f>
        <v>594.10204081632651</v>
      </c>
      <c r="I24" s="1" t="s">
        <v>278</v>
      </c>
    </row>
    <row r="25" spans="1:9" ht="18" customHeight="1">
      <c r="A25" s="26" t="s">
        <v>315</v>
      </c>
      <c r="B25" s="26">
        <v>4486</v>
      </c>
      <c r="C25" s="26">
        <v>4202</v>
      </c>
      <c r="D25" s="26"/>
    </row>
    <row r="26" spans="1:9" ht="18" customHeight="1">
      <c r="A26" s="26" t="s">
        <v>325</v>
      </c>
      <c r="B26" s="26">
        <v>3732</v>
      </c>
      <c r="C26" s="26">
        <v>3531</v>
      </c>
      <c r="D26" s="26"/>
      <c r="F26" s="1" t="s">
        <v>298</v>
      </c>
      <c r="H26" s="1" t="s">
        <v>299</v>
      </c>
      <c r="I26" s="1" t="s">
        <v>254</v>
      </c>
    </row>
    <row r="27" spans="1:9" ht="18" customHeight="1">
      <c r="A27" s="26" t="s">
        <v>338</v>
      </c>
      <c r="B27" s="26">
        <v>3003</v>
      </c>
      <c r="C27" s="26">
        <v>2999</v>
      </c>
      <c r="D27" s="26"/>
      <c r="F27" s="1" t="s">
        <v>264</v>
      </c>
      <c r="H27" s="1">
        <v>5200</v>
      </c>
      <c r="I27" s="1" t="s">
        <v>254</v>
      </c>
    </row>
    <row r="28" spans="1:9" ht="18" customHeight="1">
      <c r="F28" s="1" t="s">
        <v>264</v>
      </c>
      <c r="H28" s="1">
        <f>H27*1000/860000</f>
        <v>6.0465116279069768</v>
      </c>
      <c r="I28" s="1" t="s">
        <v>270</v>
      </c>
    </row>
    <row r="29" spans="1:9" ht="18" customHeight="1"/>
    <row r="30" spans="1:9" ht="18" customHeight="1">
      <c r="F30" s="3" t="s">
        <v>274</v>
      </c>
      <c r="H30" s="1" t="s">
        <v>275</v>
      </c>
    </row>
    <row r="31" spans="1:9" ht="18" customHeight="1">
      <c r="H31" s="1">
        <f>$C$12/H28</f>
        <v>559.82692307692309</v>
      </c>
      <c r="I31" s="1" t="s">
        <v>278</v>
      </c>
    </row>
    <row r="32" spans="1:9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hyperlinks>
    <hyperlink ref="C1" r:id="rId1" xr:uid="{00000000-0004-0000-0600-000000000000}"/>
    <hyperlink ref="C2" r:id="rId2" xr:uid="{00000000-0004-0000-0600-000001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AEDFB"/>
  </sheetPr>
  <dimension ref="A1:H1000"/>
  <sheetViews>
    <sheetView workbookViewId="0">
      <selection activeCell="C1" sqref="C1"/>
    </sheetView>
  </sheetViews>
  <sheetFormatPr defaultColWidth="10.08203125" defaultRowHeight="15" customHeight="1"/>
  <cols>
    <col min="1" max="2" width="8.5" customWidth="1"/>
    <col min="3" max="3" width="13.4140625" customWidth="1"/>
    <col min="4" max="5" width="8.5" customWidth="1"/>
    <col min="6" max="6" width="26.4140625" customWidth="1"/>
    <col min="7" max="26" width="8.5" customWidth="1"/>
  </cols>
  <sheetData>
    <row r="1" spans="1:8" ht="18" customHeight="1">
      <c r="A1" s="33" t="s">
        <v>211</v>
      </c>
      <c r="B1" s="33"/>
      <c r="C1" s="35" t="s">
        <v>245</v>
      </c>
    </row>
    <row r="2" spans="1:8" ht="18" customHeight="1"/>
    <row r="3" spans="1:8" ht="18" customHeight="1">
      <c r="A3" s="1" t="s">
        <v>248</v>
      </c>
      <c r="B3" s="1">
        <v>7</v>
      </c>
      <c r="C3" s="5" t="s">
        <v>250</v>
      </c>
      <c r="F3" s="22" t="s">
        <v>251</v>
      </c>
      <c r="G3" s="22"/>
      <c r="H3" s="22"/>
    </row>
    <row r="4" spans="1:8" ht="18" customHeight="1">
      <c r="B4" s="1">
        <f>B3*95.08</f>
        <v>665.56</v>
      </c>
      <c r="C4" s="5" t="s">
        <v>255</v>
      </c>
      <c r="F4" s="22" t="s">
        <v>257</v>
      </c>
      <c r="G4" s="22"/>
      <c r="H4" s="22"/>
    </row>
    <row r="5" spans="1:8" ht="18" customHeight="1">
      <c r="F5" s="1" t="s">
        <v>260</v>
      </c>
    </row>
    <row r="6" spans="1:8" ht="18" customHeight="1">
      <c r="A6" s="1" t="s">
        <v>261</v>
      </c>
      <c r="B6" s="1">
        <v>3071</v>
      </c>
      <c r="C6" s="1" t="s">
        <v>262</v>
      </c>
      <c r="D6" s="1">
        <f t="shared" ref="D6:D8" si="0">B6*1000</f>
        <v>3071000</v>
      </c>
      <c r="E6" s="1" t="s">
        <v>269</v>
      </c>
    </row>
    <row r="7" spans="1:8" ht="18" customHeight="1">
      <c r="B7" s="1">
        <v>1423</v>
      </c>
      <c r="C7" s="1" t="s">
        <v>262</v>
      </c>
      <c r="D7" s="1">
        <f t="shared" si="0"/>
        <v>1423000</v>
      </c>
      <c r="E7" s="1" t="s">
        <v>269</v>
      </c>
    </row>
    <row r="8" spans="1:8" ht="18" customHeight="1">
      <c r="B8" s="1">
        <v>1868</v>
      </c>
      <c r="C8" s="1" t="s">
        <v>262</v>
      </c>
      <c r="D8" s="1">
        <f t="shared" si="0"/>
        <v>1868000</v>
      </c>
      <c r="E8" s="1" t="s">
        <v>269</v>
      </c>
    </row>
    <row r="9" spans="1:8" ht="18" customHeight="1"/>
    <row r="10" spans="1:8" ht="18" customHeight="1">
      <c r="B10" s="1">
        <f>D6/252000</f>
        <v>12.186507936507937</v>
      </c>
    </row>
    <row r="11" spans="1:8" ht="18" customHeight="1">
      <c r="B11" s="1">
        <f>B3*B10</f>
        <v>85.305555555555557</v>
      </c>
    </row>
    <row r="12" spans="1:8" ht="18" customHeight="1">
      <c r="B12" s="1">
        <f>B11/0.5</f>
        <v>170.61111111111111</v>
      </c>
    </row>
    <row r="13" spans="1:8" ht="18" customHeight="1"/>
    <row r="14" spans="1:8" ht="18" customHeight="1"/>
    <row r="15" spans="1:8" ht="18" customHeight="1"/>
    <row r="16" spans="1:8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hyperlinks>
    <hyperlink ref="C1" r:id="rId1" xr:uid="{00000000-0004-0000-0700-000000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/>
  </sheetViews>
  <sheetFormatPr defaultColWidth="10.08203125" defaultRowHeight="15" customHeight="1"/>
  <cols>
    <col min="1" max="1" width="64.1640625" customWidth="1"/>
    <col min="2" max="26" width="8.5" customWidth="1"/>
  </cols>
  <sheetData>
    <row r="1" spans="1:3" ht="18" customHeight="1">
      <c r="A1" s="1" t="s">
        <v>211</v>
      </c>
      <c r="C1" s="1" t="s">
        <v>307</v>
      </c>
    </row>
    <row r="2" spans="1:3" ht="18" customHeight="1"/>
    <row r="3" spans="1:3" ht="18" customHeight="1">
      <c r="A3" s="1" t="s">
        <v>308</v>
      </c>
    </row>
    <row r="4" spans="1:3" ht="18" customHeight="1">
      <c r="A4" s="1" t="s">
        <v>309</v>
      </c>
    </row>
    <row r="5" spans="1:3" ht="18" customHeight="1"/>
    <row r="6" spans="1:3" ht="18" customHeight="1"/>
    <row r="7" spans="1:3" ht="18" customHeight="1"/>
    <row r="8" spans="1:3" ht="18" customHeight="1">
      <c r="A8" s="1" t="s">
        <v>310</v>
      </c>
    </row>
    <row r="9" spans="1:3" ht="18" customHeight="1">
      <c r="A9" s="1" t="s">
        <v>308</v>
      </c>
    </row>
    <row r="10" spans="1:3" ht="18" customHeight="1">
      <c r="A10" s="1" t="s">
        <v>309</v>
      </c>
    </row>
    <row r="11" spans="1:3" ht="18" customHeight="1">
      <c r="A11" s="1" t="s">
        <v>312</v>
      </c>
    </row>
    <row r="12" spans="1:3" ht="18" customHeight="1">
      <c r="A12" s="1" t="s">
        <v>313</v>
      </c>
    </row>
    <row r="13" spans="1:3" ht="18" customHeight="1">
      <c r="A13" s="1" t="s">
        <v>314</v>
      </c>
    </row>
    <row r="14" spans="1:3" ht="18" customHeight="1">
      <c r="A14" s="1" t="s">
        <v>316</v>
      </c>
    </row>
    <row r="15" spans="1:3" ht="18" customHeight="1">
      <c r="A15" s="1" t="s">
        <v>317</v>
      </c>
    </row>
    <row r="16" spans="1:3" ht="18" customHeight="1">
      <c r="A16" s="1" t="s">
        <v>318</v>
      </c>
    </row>
    <row r="17" spans="1:1" ht="18" customHeight="1">
      <c r="A17" s="1" t="s">
        <v>319</v>
      </c>
    </row>
    <row r="18" spans="1:1" ht="18" customHeight="1">
      <c r="A18" s="1" t="s">
        <v>320</v>
      </c>
    </row>
    <row r="19" spans="1:1" ht="18" customHeight="1">
      <c r="A19" s="1" t="s">
        <v>321</v>
      </c>
    </row>
    <row r="20" spans="1:1" ht="18" customHeight="1">
      <c r="A20" s="1" t="s">
        <v>322</v>
      </c>
    </row>
    <row r="21" spans="1:1" ht="18" customHeight="1">
      <c r="A21" s="1" t="s">
        <v>323</v>
      </c>
    </row>
    <row r="22" spans="1:1" ht="18" customHeight="1">
      <c r="A22" s="1" t="s">
        <v>324</v>
      </c>
    </row>
    <row r="23" spans="1:1" ht="18" customHeight="1">
      <c r="A23" s="1" t="s">
        <v>326</v>
      </c>
    </row>
    <row r="24" spans="1:1" ht="18" customHeight="1">
      <c r="A24" s="1" t="s">
        <v>327</v>
      </c>
    </row>
    <row r="25" spans="1:1" ht="18" customHeight="1">
      <c r="A25" s="1" t="s">
        <v>328</v>
      </c>
    </row>
    <row r="26" spans="1:1" ht="18" customHeight="1">
      <c r="A26" s="1" t="s">
        <v>329</v>
      </c>
    </row>
    <row r="27" spans="1:1" ht="18" customHeight="1">
      <c r="A27" s="1" t="s">
        <v>330</v>
      </c>
    </row>
    <row r="28" spans="1:1" ht="18" customHeight="1">
      <c r="A28" s="1" t="s">
        <v>331</v>
      </c>
    </row>
    <row r="29" spans="1:1" ht="18" customHeight="1">
      <c r="A29" s="1" t="s">
        <v>332</v>
      </c>
    </row>
    <row r="30" spans="1:1" ht="18" customHeight="1">
      <c r="A30" s="1" t="s">
        <v>333</v>
      </c>
    </row>
    <row r="31" spans="1:1" ht="18" customHeight="1">
      <c r="A31" s="1" t="s">
        <v>334</v>
      </c>
    </row>
    <row r="32" spans="1:1" ht="18" customHeight="1">
      <c r="A32" s="1" t="s">
        <v>335</v>
      </c>
    </row>
    <row r="33" spans="1:1" ht="18" customHeight="1">
      <c r="A33" s="1" t="s">
        <v>336</v>
      </c>
    </row>
    <row r="34" spans="1:1" ht="18" customHeight="1">
      <c r="A34" s="1" t="s">
        <v>337</v>
      </c>
    </row>
    <row r="35" spans="1:1" ht="18" customHeight="1">
      <c r="A35" s="1" t="s">
        <v>339</v>
      </c>
    </row>
    <row r="36" spans="1:1" ht="18" customHeight="1">
      <c r="A36" s="1" t="s">
        <v>340</v>
      </c>
    </row>
    <row r="37" spans="1:1" ht="18" customHeight="1">
      <c r="A37" s="1" t="s">
        <v>341</v>
      </c>
    </row>
    <row r="38" spans="1:1" ht="18" customHeight="1">
      <c r="A38" s="1" t="s">
        <v>342</v>
      </c>
    </row>
    <row r="39" spans="1:1" ht="18" customHeight="1"/>
    <row r="40" spans="1:1" ht="18" customHeight="1"/>
    <row r="41" spans="1:1" ht="18" customHeight="1"/>
    <row r="42" spans="1:1" ht="18" customHeight="1"/>
    <row r="43" spans="1:1" ht="18" customHeight="1"/>
    <row r="44" spans="1:1" ht="18" customHeight="1"/>
    <row r="45" spans="1:1" ht="18" customHeight="1"/>
    <row r="46" spans="1:1" ht="18" customHeight="1"/>
    <row r="47" spans="1:1" ht="18" customHeight="1"/>
    <row r="48" spans="1:1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/>
  </sheetViews>
  <sheetFormatPr defaultColWidth="10.08203125" defaultRowHeight="15" customHeight="1"/>
  <cols>
    <col min="1" max="26" width="8.5" customWidth="1"/>
  </cols>
  <sheetData>
    <row r="1" spans="1:3" ht="18" customHeight="1">
      <c r="A1" s="1" t="s">
        <v>211</v>
      </c>
      <c r="C1" s="1" t="s">
        <v>343</v>
      </c>
    </row>
    <row r="2" spans="1:3" ht="18" customHeight="1"/>
    <row r="3" spans="1:3" ht="18" customHeight="1"/>
    <row r="4" spans="1:3" ht="18" customHeight="1"/>
    <row r="5" spans="1:3" ht="18" customHeight="1"/>
    <row r="6" spans="1:3" ht="18" customHeight="1"/>
    <row r="7" spans="1:3" ht="18" customHeight="1"/>
    <row r="8" spans="1:3" ht="18" customHeight="1"/>
    <row r="9" spans="1:3" ht="18" customHeight="1"/>
    <row r="10" spans="1:3" ht="18" customHeight="1"/>
    <row r="11" spans="1:3" ht="18" customHeight="1"/>
    <row r="12" spans="1:3" ht="18" customHeight="1"/>
    <row r="13" spans="1:3" ht="18" customHeight="1"/>
    <row r="14" spans="1:3" ht="18" customHeight="1"/>
    <row r="15" spans="1:3" ht="18" customHeight="1"/>
    <row r="16" spans="1:3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0"/>
  <sheetViews>
    <sheetView workbookViewId="0"/>
  </sheetViews>
  <sheetFormatPr defaultColWidth="10.08203125" defaultRowHeight="15" customHeight="1"/>
  <cols>
    <col min="1" max="26" width="8.5" customWidth="1"/>
  </cols>
  <sheetData>
    <row r="1" spans="1:3" ht="18" customHeight="1">
      <c r="A1" s="1" t="s">
        <v>348</v>
      </c>
      <c r="C1" s="34" t="s">
        <v>343</v>
      </c>
    </row>
    <row r="2" spans="1:3" ht="18" customHeight="1"/>
    <row r="3" spans="1:3" ht="18" customHeight="1"/>
    <row r="4" spans="1:3" ht="18" customHeight="1"/>
    <row r="5" spans="1:3" ht="18" customHeight="1"/>
    <row r="6" spans="1:3" ht="18" customHeight="1"/>
    <row r="7" spans="1:3" ht="18" customHeight="1"/>
    <row r="8" spans="1:3" ht="18" customHeight="1"/>
    <row r="9" spans="1:3" ht="18" customHeight="1"/>
    <row r="10" spans="1:3" ht="18" customHeight="1"/>
    <row r="11" spans="1:3" ht="18" customHeight="1"/>
    <row r="12" spans="1:3" ht="18" customHeight="1"/>
    <row r="13" spans="1:3" ht="18" customHeight="1"/>
    <row r="14" spans="1:3" ht="18" customHeight="1"/>
    <row r="15" spans="1:3" ht="18" customHeight="1"/>
    <row r="16" spans="1:3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hyperlinks>
    <hyperlink ref="C1" r:id="rId1" xr:uid="{00000000-0004-0000-0A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Fixed cost calculation</vt:lpstr>
      <vt:lpstr>Sheet2</vt:lpstr>
      <vt:lpstr>Cost Range</vt:lpstr>
      <vt:lpstr>Sheet1</vt:lpstr>
      <vt:lpstr>Financial Parameters Generators</vt:lpstr>
      <vt:lpstr>Renewable share</vt:lpstr>
      <vt:lpstr>Coal Prices</vt:lpstr>
      <vt:lpstr>Gas Price</vt:lpstr>
      <vt:lpstr>Hydro availability Factor</vt:lpstr>
      <vt:lpstr>Solar availability factor</vt:lpstr>
      <vt:lpstr>Wind availbility 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Bhatta</dc:creator>
  <cp:lastModifiedBy>Ashish Bhatta</cp:lastModifiedBy>
  <dcterms:created xsi:type="dcterms:W3CDTF">2026-08-05T11:45:29Z</dcterms:created>
  <dcterms:modified xsi:type="dcterms:W3CDTF">2026-09-30T10:48:15Z</dcterms:modified>
</cp:coreProperties>
</file>