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mita\Downloads\"/>
    </mc:Choice>
  </mc:AlternateContent>
  <xr:revisionPtr revIDLastSave="0" documentId="13_ncr:1_{0A47AC9E-02FD-4D7D-B8CC-949C477F7143}" xr6:coauthVersionLast="47" xr6:coauthVersionMax="47" xr10:uidLastSave="{00000000-0000-0000-0000-000000000000}"/>
  <bookViews>
    <workbookView xWindow="-108" yWindow="-108" windowWidth="23256" windowHeight="12456" activeTab="1" xr2:uid="{8965A71F-B8A2-4C9F-BBBB-5A7523514620}"/>
  </bookViews>
  <sheets>
    <sheet name="Sheet3" sheetId="3" r:id="rId1"/>
    <sheet name="Sheet1" sheetId="1" r:id="rId2"/>
    <sheet name="Green DA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/>
  <c r="B23" i="1" s="1" a="1"/>
  <c r="B23" i="1" s="1"/>
  <c r="C7" i="1"/>
  <c r="E23" i="1" s="1" a="1"/>
  <c r="E23" i="1" s="1"/>
  <c r="C8" i="1"/>
  <c r="B20" i="1" s="1" a="1"/>
  <c r="B20" i="1" s="1"/>
  <c r="C9" i="1"/>
  <c r="E14" i="1" s="1" a="1"/>
  <c r="E14" i="1" s="1"/>
  <c r="C10" i="1"/>
  <c r="C4" i="1"/>
  <c r="B14" i="1" s="1" a="1"/>
  <c r="B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<sst xmlns="http://schemas.openxmlformats.org/spreadsheetml/2006/main" count="529" uniqueCount="71">
  <si>
    <t>india generation mix</t>
  </si>
  <si>
    <t>Wind</t>
  </si>
  <si>
    <t>Solar</t>
  </si>
  <si>
    <t>Oil and Gas</t>
  </si>
  <si>
    <t>Nuclear</t>
  </si>
  <si>
    <t>Hydro</t>
  </si>
  <si>
    <t>Coal</t>
  </si>
  <si>
    <t>Bio Power</t>
  </si>
  <si>
    <t>in %</t>
  </si>
  <si>
    <t>Total (MWh)</t>
  </si>
  <si>
    <t>-</t>
  </si>
  <si>
    <t>Max (MW)</t>
  </si>
  <si>
    <t>Min (MW)</t>
  </si>
  <si>
    <t>Avg (MW)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</si>
  <si>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</si>
  <si>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</si>
  <si>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</si>
  <si>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</si>
  <si>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</si>
  <si>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</si>
  <si>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</si>
  <si>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</si>
  <si>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</si>
  <si>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</si>
  <si>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</si>
  <si>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</si>
  <si>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</si>
  <si>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</si>
  <si>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</si>
  <si>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</si>
  <si>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</si>
  <si>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</si>
  <si>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</si>
  <si>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Date</t>
  </si>
  <si>
    <t>Summary</t>
  </si>
  <si>
    <t>Purchase Bid</t>
  </si>
  <si>
    <t>Sell Bid</t>
  </si>
  <si>
    <t>MCV</t>
  </si>
  <si>
    <t>Final Scheduled Volume</t>
  </si>
  <si>
    <t>MCP (Rs/MWh) *</t>
  </si>
  <si>
    <t>Jan 2026 max</t>
  </si>
  <si>
    <t>Coal 1</t>
  </si>
  <si>
    <t>Coal 2</t>
  </si>
  <si>
    <t>Coal 3</t>
  </si>
  <si>
    <t>Coal 4</t>
  </si>
  <si>
    <t>Coal 5</t>
  </si>
  <si>
    <t>wind 1</t>
  </si>
  <si>
    <t>wind 2</t>
  </si>
  <si>
    <t>wind 3</t>
  </si>
  <si>
    <t>wind 4</t>
  </si>
  <si>
    <t>wind 5</t>
  </si>
  <si>
    <t>Hydro 2</t>
  </si>
  <si>
    <t>Hydro 1</t>
  </si>
  <si>
    <t>Gas and Oil 1</t>
  </si>
  <si>
    <t>Gas and Oil 2</t>
  </si>
  <si>
    <t>Gas and Oil 3</t>
  </si>
  <si>
    <t>Gas and Oil 4</t>
  </si>
  <si>
    <t>Gas and Oil 5</t>
  </si>
  <si>
    <t>Gas and Oil 6</t>
  </si>
  <si>
    <t>Gas and Oil 7</t>
  </si>
  <si>
    <t>Nuclear 1</t>
  </si>
  <si>
    <t>Nuclear 2</t>
  </si>
  <si>
    <t>Nuclear 3</t>
  </si>
  <si>
    <t>Nuclear 4</t>
  </si>
  <si>
    <t>Coal 6</t>
  </si>
  <si>
    <t>MCP (Rs/MWh)</t>
  </si>
  <si>
    <t>Total</t>
  </si>
  <si>
    <t>Non-Solar</t>
  </si>
  <si>
    <t>Row Labels</t>
  </si>
  <si>
    <t>Grand Total</t>
  </si>
  <si>
    <t>Max of Purchase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</si>
</sst>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Aptos Narrow"/>
      <family val="2"/>
      <scheme val="minor"/>
    </font>
    <font>
      <sz val="10"/>
      <color rgb="FF252525"/>
      <name val="__Inter_a1b627"/>
    </font>
    <font>
      <sz val="10"/>
      <color rgb="FF252525"/>
      <name val="__Inter_a1b627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EAF8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fill>
        <patternFill patternType="solid">
          <fgColor indexed="64"/>
          <bgColor rgb="FFE3EAF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__Inter_a1b62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0E0E0"/>
        </right>
        <top/>
        <bottom style="medium">
          <color rgb="FFE0E0E0"/>
        </bottom>
        <vertical/>
        <horizontal/>
      </border>
    </dxf>
    <dxf>
      <border outline="0">
        <bottom style="medium">
          <color rgb="FFE0E0E0"/>
        </bottom>
      </border>
    </dxf>
    <dxf>
      <border outline="0">
        <bottom style="medium">
          <color rgb="FFE0E0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" refreshedDate="46293.943805787036" createdVersion="8" refreshedVersion="8" minRefreshableVersion="3" recordCount="124" xr:uid="{15ABB1A7-F52B-4029-8EAF-8EE882190A61}">
  <cacheSource type="worksheet">
    <worksheetSource name="Table1"/>
  </cacheSource>
  <cacheFields count="7">
    <cacheField name="Date" numFmtId="0">
      <sharedItems containsDate="1" containsMixedTypes="1" minDate="2026-01-01T00:00:00" maxDate="2026-12-02T00:00:00"/>
    </cacheField>
    <cacheField name="Summary" numFmtId="0">
      <sharedItems count="4">
        <s v="Total (MWh)"/>
        <s v="Max (MW)"/>
        <s v="Min (MW)"/>
        <s v="Avg (MW)"/>
      </sharedItems>
    </cacheField>
    <cacheField name="Purchase Bid" numFmtId="0">
      <sharedItems containsSemiMixedTypes="0" containsString="0" containsNumber="1" minValue="8220.7000000000007" maxValue="419387.98"/>
    </cacheField>
    <cacheField name="Sell Bid" numFmtId="0">
      <sharedItems containsSemiMixedTypes="0" containsString="0" containsNumber="1" minValue="4249.8999999999996" maxValue="712993.73"/>
    </cacheField>
    <cacheField name="MCV" numFmtId="0">
      <sharedItems containsSemiMixedTypes="0" containsString="0" containsNumber="1" minValue="3809.87" maxValue="229233.49"/>
    </cacheField>
    <cacheField name="Final Scheduled Volume" numFmtId="0">
      <sharedItems containsSemiMixedTypes="0" containsString="0" containsNumber="1" minValue="3809.87" maxValue="229233.49"/>
    </cacheField>
    <cacheField name="MCP (Rs/MWh) *" numFmtId="0">
      <sharedItems containsMixedTypes="1" containsNumber="1" minValue="1433.81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6-01-01T00:00:00"/>
    <x v="0"/>
    <n v="337096.1"/>
    <n v="398852.48"/>
    <n v="157617.9"/>
    <n v="157617.9"/>
    <s v="-"/>
  </r>
  <r>
    <d v="2026-01-01T00:00:00"/>
    <x v="1"/>
    <n v="23105.599999999999"/>
    <n v="28267.7"/>
    <n v="11296"/>
    <n v="11296"/>
    <n v="10000"/>
  </r>
  <r>
    <d v="2026-01-01T00:00:00"/>
    <x v="2"/>
    <n v="9107.2000000000007"/>
    <n v="4749.7"/>
    <n v="4454.7"/>
    <n v="4454.7"/>
    <n v="2580.17"/>
  </r>
  <r>
    <d v="2026-01-01T00:00:00"/>
    <x v="3"/>
    <n v="14045.67"/>
    <n v="16618.849999999999"/>
    <n v="6567.41"/>
    <n v="6567.41"/>
    <n v="4485.57"/>
  </r>
  <r>
    <d v="2026-02-01T00:00:00"/>
    <x v="0"/>
    <n v="381999.28"/>
    <n v="412576.98"/>
    <n v="171378.54"/>
    <n v="171378.54"/>
    <s v="-"/>
  </r>
  <r>
    <d v="2026-02-01T00:00:00"/>
    <x v="1"/>
    <n v="25232.1"/>
    <n v="28964"/>
    <n v="10589.38"/>
    <n v="10589.38"/>
    <n v="10000"/>
  </r>
  <r>
    <d v="2026-02-01T00:00:00"/>
    <x v="2"/>
    <n v="10703.1"/>
    <n v="4249.8999999999996"/>
    <n v="3809.87"/>
    <n v="3809.87"/>
    <n v="2670.35"/>
  </r>
  <r>
    <d v="2026-02-01T00:00:00"/>
    <x v="3"/>
    <n v="15916.64"/>
    <n v="17190.71"/>
    <n v="7140.77"/>
    <n v="7140.77"/>
    <n v="4838.74"/>
  </r>
  <r>
    <d v="2026-03-01T00:00:00"/>
    <x v="0"/>
    <n v="371384.45"/>
    <n v="453195.88"/>
    <n v="178365.58"/>
    <n v="178365.58"/>
    <s v="-"/>
  </r>
  <r>
    <d v="2026-03-01T00:00:00"/>
    <x v="1"/>
    <n v="24442.5"/>
    <n v="30999.5"/>
    <n v="10942.7"/>
    <n v="10942.7"/>
    <n v="10000"/>
  </r>
  <r>
    <d v="2026-03-01T00:00:00"/>
    <x v="2"/>
    <n v="11712.1"/>
    <n v="5247.3"/>
    <n v="4093"/>
    <n v="4093"/>
    <n v="2670.8"/>
  </r>
  <r>
    <d v="2026-03-01T00:00:00"/>
    <x v="3"/>
    <n v="15474.35"/>
    <n v="18883.16"/>
    <n v="7431.9"/>
    <n v="7431.9"/>
    <n v="4515.37"/>
  </r>
  <r>
    <d v="2026-04-01T00:00:00"/>
    <x v="0"/>
    <n v="319013.83"/>
    <n v="504189.58"/>
    <n v="158611.62"/>
    <n v="158611.62"/>
    <s v="-"/>
  </r>
  <r>
    <d v="2026-04-01T00:00:00"/>
    <x v="1"/>
    <n v="18410.3"/>
    <n v="31416.799999999999"/>
    <n v="9944.7999999999993"/>
    <n v="9944.7999999999993"/>
    <n v="5450.8"/>
  </r>
  <r>
    <d v="2026-04-01T00:00:00"/>
    <x v="2"/>
    <n v="9889.6"/>
    <n v="9171.2000000000007"/>
    <n v="4977"/>
    <n v="4977"/>
    <n v="2590.0700000000002"/>
  </r>
  <r>
    <d v="2026-04-01T00:00:00"/>
    <x v="3"/>
    <n v="13292.24"/>
    <n v="21007.9"/>
    <n v="6608.82"/>
    <n v="6608.82"/>
    <n v="3413.45"/>
  </r>
  <r>
    <d v="2026-05-01T00:00:00"/>
    <x v="0"/>
    <n v="353059.7"/>
    <n v="495933.48"/>
    <n v="180916.38"/>
    <n v="180916.38"/>
    <s v="-"/>
  </r>
  <r>
    <d v="2026-05-01T00:00:00"/>
    <x v="1"/>
    <n v="20619.900000000001"/>
    <n v="34642.800000000003"/>
    <n v="11954.3"/>
    <n v="11954.3"/>
    <n v="10000"/>
  </r>
  <r>
    <d v="2026-05-01T00:00:00"/>
    <x v="2"/>
    <n v="9520.9"/>
    <n v="6254.8"/>
    <n v="4197.3999999999996"/>
    <n v="4197.3999999999996"/>
    <n v="2314.48"/>
  </r>
  <r>
    <d v="2026-05-01T00:00:00"/>
    <x v="3"/>
    <n v="14710.82"/>
    <n v="20663.89"/>
    <n v="7538.18"/>
    <n v="7538.18"/>
    <n v="4198.62"/>
  </r>
  <r>
    <d v="2026-06-01T00:00:00"/>
    <x v="0"/>
    <n v="392608.13"/>
    <n v="491116.79999999999"/>
    <n v="191056.44"/>
    <n v="191056.44"/>
    <s v="-"/>
  </r>
  <r>
    <d v="2026-06-01T00:00:00"/>
    <x v="1"/>
    <n v="23179.1"/>
    <n v="34398"/>
    <n v="10242.1"/>
    <n v="10242.1"/>
    <n v="10000"/>
  </r>
  <r>
    <d v="2026-06-01T00:00:00"/>
    <x v="2"/>
    <n v="11877.6"/>
    <n v="7059.2"/>
    <n v="5186.6000000000004"/>
    <n v="5186.6000000000004"/>
    <n v="2416.85"/>
  </r>
  <r>
    <d v="2026-06-01T00:00:00"/>
    <x v="3"/>
    <n v="16358.67"/>
    <n v="20463.2"/>
    <n v="7960.69"/>
    <n v="7960.69"/>
    <n v="4162.88"/>
  </r>
  <r>
    <d v="2026-07-01T00:00:00"/>
    <x v="0"/>
    <n v="412234.35"/>
    <n v="452351.38"/>
    <n v="181427.26"/>
    <n v="181427.26"/>
    <s v="-"/>
  </r>
  <r>
    <d v="2026-07-01T00:00:00"/>
    <x v="1"/>
    <n v="26974.1"/>
    <n v="31711.3"/>
    <n v="10389.299999999999"/>
    <n v="10389.299999999999"/>
    <n v="10000"/>
  </r>
  <r>
    <d v="2026-07-01T00:00:00"/>
    <x v="2"/>
    <n v="11442.3"/>
    <n v="7334.9"/>
    <n v="5462.28"/>
    <n v="5462.28"/>
    <n v="2429.98"/>
  </r>
  <r>
    <d v="2026-07-01T00:00:00"/>
    <x v="3"/>
    <n v="17176.43"/>
    <n v="18847.97"/>
    <n v="7559.47"/>
    <n v="7559.47"/>
    <n v="4808.58"/>
  </r>
  <r>
    <d v="2026-08-01T00:00:00"/>
    <x v="0"/>
    <n v="402523.53"/>
    <n v="454007.48"/>
    <n v="187709.7"/>
    <n v="187709.7"/>
    <s v="-"/>
  </r>
  <r>
    <d v="2026-08-01T00:00:00"/>
    <x v="1"/>
    <n v="26286.400000000001"/>
    <n v="30527.9"/>
    <n v="12056.4"/>
    <n v="12056.4"/>
    <n v="10000"/>
  </r>
  <r>
    <d v="2026-08-01T00:00:00"/>
    <x v="2"/>
    <n v="11921.8"/>
    <n v="7174.3"/>
    <n v="5206.3999999999996"/>
    <n v="5206.3999999999996"/>
    <n v="2630.49"/>
  </r>
  <r>
    <d v="2026-08-01T00:00:00"/>
    <x v="3"/>
    <n v="16771.810000000001"/>
    <n v="18916.98"/>
    <n v="7821.24"/>
    <n v="7821.24"/>
    <n v="4709"/>
  </r>
  <r>
    <d v="2026-09-01T00:00:00"/>
    <x v="0"/>
    <n v="419387.98"/>
    <n v="462991.13"/>
    <n v="189151.69"/>
    <n v="189151.69"/>
    <s v="-"/>
  </r>
  <r>
    <d v="2026-09-01T00:00:00"/>
    <x v="1"/>
    <n v="29785.8"/>
    <n v="32426.6"/>
    <n v="11598.1"/>
    <n v="11598.1"/>
    <n v="10000"/>
  </r>
  <r>
    <d v="2026-09-01T00:00:00"/>
    <x v="2"/>
    <n v="12018.2"/>
    <n v="7239.4"/>
    <n v="5371.5"/>
    <n v="5371.5"/>
    <n v="2549.44"/>
  </r>
  <r>
    <d v="2026-09-01T00:00:00"/>
    <x v="3"/>
    <n v="17474.5"/>
    <n v="19291.3"/>
    <n v="7881.32"/>
    <n v="7881.32"/>
    <n v="4819.9399999999996"/>
  </r>
  <r>
    <d v="2026-10-01T00:00:00"/>
    <x v="0"/>
    <n v="391909"/>
    <n v="469998.73"/>
    <n v="184045.82"/>
    <n v="184045.82"/>
    <s v="-"/>
  </r>
  <r>
    <d v="2026-10-01T00:00:00"/>
    <x v="1"/>
    <n v="26158.400000000001"/>
    <n v="30971.7"/>
    <n v="11176.7"/>
    <n v="11176.7"/>
    <n v="10000"/>
  </r>
  <r>
    <d v="2026-10-01T00:00:00"/>
    <x v="2"/>
    <n v="10308.799999999999"/>
    <n v="7795.1"/>
    <n v="5057.2700000000004"/>
    <n v="5057.2700000000004"/>
    <n v="2469.75"/>
  </r>
  <r>
    <d v="2026-10-01T00:00:00"/>
    <x v="3"/>
    <n v="16329.54"/>
    <n v="19583.28"/>
    <n v="7668.58"/>
    <n v="7668.58"/>
    <n v="4681"/>
  </r>
  <r>
    <d v="2026-11-01T00:00:00"/>
    <x v="0"/>
    <n v="332516.59999999998"/>
    <n v="562984.13"/>
    <n v="194483.22"/>
    <n v="194483.22"/>
    <s v="-"/>
  </r>
  <r>
    <d v="2026-11-01T00:00:00"/>
    <x v="1"/>
    <n v="21576"/>
    <n v="34611.5"/>
    <n v="10411.700000000001"/>
    <n v="10411.700000000001"/>
    <n v="4799.04"/>
  </r>
  <r>
    <d v="2026-11-01T00:00:00"/>
    <x v="2"/>
    <n v="9992.5"/>
    <n v="11395.6"/>
    <n v="5756.2"/>
    <n v="5756.2"/>
    <n v="2250.1999999999998"/>
  </r>
  <r>
    <d v="2026-11-01T00:00:00"/>
    <x v="3"/>
    <n v="13854.86"/>
    <n v="23457.67"/>
    <n v="8103.47"/>
    <n v="8103.47"/>
    <n v="3164.87"/>
  </r>
  <r>
    <d v="2026-12-01T00:00:00"/>
    <x v="0"/>
    <n v="389608.63"/>
    <n v="465042.35"/>
    <n v="187946.9"/>
    <n v="187946.9"/>
    <s v="-"/>
  </r>
  <r>
    <d v="2026-12-01T00:00:00"/>
    <x v="1"/>
    <n v="28835.7"/>
    <n v="31172.9"/>
    <n v="12417.7"/>
    <n v="12417.7"/>
    <n v="10000"/>
  </r>
  <r>
    <d v="2026-12-01T00:00:00"/>
    <x v="2"/>
    <n v="8836"/>
    <n v="6682.4"/>
    <n v="4396.3900000000003"/>
    <n v="4396.3900000000003"/>
    <n v="2380.46"/>
  </r>
  <r>
    <d v="2026-12-01T00:00:00"/>
    <x v="3"/>
    <n v="16233.69"/>
    <n v="19376.759999999998"/>
    <n v="7831.12"/>
    <n v="7831.12"/>
    <n v="4822.04"/>
  </r>
  <r>
    <s v="13-01-2026"/>
    <x v="0"/>
    <n v="389751.88"/>
    <n v="443681.93"/>
    <n v="185770.74"/>
    <n v="185770.74"/>
    <s v="-"/>
  </r>
  <r>
    <s v="13-01-2026"/>
    <x v="1"/>
    <n v="30487.5"/>
    <n v="31421.3"/>
    <n v="12990.19"/>
    <n v="12990.19"/>
    <n v="10000"/>
  </r>
  <r>
    <s v="13-01-2026"/>
    <x v="2"/>
    <n v="10468.799999999999"/>
    <n v="5508.7"/>
    <n v="3847.5"/>
    <n v="3847.5"/>
    <n v="2469.5300000000002"/>
  </r>
  <r>
    <s v="13-01-2026"/>
    <x v="3"/>
    <n v="16239.66"/>
    <n v="18486.75"/>
    <n v="7740.45"/>
    <n v="7740.45"/>
    <n v="4722.75"/>
  </r>
  <r>
    <s v="14-01-2026"/>
    <x v="0"/>
    <n v="351547"/>
    <n v="538032.38"/>
    <n v="200621.89"/>
    <n v="200621.89"/>
    <s v="-"/>
  </r>
  <r>
    <s v="14-01-2026"/>
    <x v="1"/>
    <n v="24419.599999999999"/>
    <n v="37062.1"/>
    <n v="11166.5"/>
    <n v="11166.5"/>
    <n v="10000"/>
  </r>
  <r>
    <s v="14-01-2026"/>
    <x v="2"/>
    <n v="9198.2000000000007"/>
    <n v="9556.2999999999993"/>
    <n v="5706.59"/>
    <n v="5706.59"/>
    <n v="2469.9899999999998"/>
  </r>
  <r>
    <s v="14-01-2026"/>
    <x v="3"/>
    <n v="14647.79"/>
    <n v="22418.02"/>
    <n v="8359.25"/>
    <n v="8359.25"/>
    <n v="4271.9799999999996"/>
  </r>
  <r>
    <s v="15-01-2026"/>
    <x v="0"/>
    <n v="353297.1"/>
    <n v="597052.19999999995"/>
    <n v="229233.49"/>
    <n v="229233.49"/>
    <s v="-"/>
  </r>
  <r>
    <s v="15-01-2026"/>
    <x v="1"/>
    <n v="23747.200000000001"/>
    <n v="38534.199999999997"/>
    <n v="13716.19"/>
    <n v="13716.19"/>
    <n v="10000"/>
  </r>
  <r>
    <s v="15-01-2026"/>
    <x v="2"/>
    <n v="10179.799999999999"/>
    <n v="13606.1"/>
    <n v="6212.63"/>
    <n v="6212.63"/>
    <n v="2296.67"/>
  </r>
  <r>
    <s v="15-01-2026"/>
    <x v="3"/>
    <n v="14720.71"/>
    <n v="24877.18"/>
    <n v="9551.4"/>
    <n v="9551.4"/>
    <n v="4014.34"/>
  </r>
  <r>
    <s v="16-01-2026"/>
    <x v="0"/>
    <n v="380308.2"/>
    <n v="574894.6"/>
    <n v="215748.86"/>
    <n v="215748.86"/>
    <s v="-"/>
  </r>
  <r>
    <s v="16-01-2026"/>
    <x v="1"/>
    <n v="24164"/>
    <n v="39491.1"/>
    <n v="11723.7"/>
    <n v="11723.7"/>
    <n v="10000"/>
  </r>
  <r>
    <s v="16-01-2026"/>
    <x v="2"/>
    <n v="10854.8"/>
    <n v="11106.2"/>
    <n v="5869.7"/>
    <n v="5869.7"/>
    <n v="2000.55"/>
  </r>
  <r>
    <s v="16-01-2026"/>
    <x v="3"/>
    <n v="15846.18"/>
    <n v="23953.94"/>
    <n v="8989.5400000000009"/>
    <n v="8989.5400000000009"/>
    <n v="4077.08"/>
  </r>
  <r>
    <s v="17-01-2026"/>
    <x v="0"/>
    <n v="364328.55"/>
    <n v="586844.38"/>
    <n v="216221.7"/>
    <n v="216221.7"/>
    <s v="-"/>
  </r>
  <r>
    <s v="17-01-2026"/>
    <x v="1"/>
    <n v="24042.5"/>
    <n v="41825.599999999999"/>
    <n v="12621.8"/>
    <n v="12621.8"/>
    <n v="10000"/>
  </r>
  <r>
    <s v="17-01-2026"/>
    <x v="2"/>
    <n v="10780.9"/>
    <n v="12432.5"/>
    <n v="5663.5"/>
    <n v="5663.5"/>
    <n v="1760.8"/>
  </r>
  <r>
    <s v="17-01-2026"/>
    <x v="3"/>
    <n v="15180.36"/>
    <n v="24451.85"/>
    <n v="9009.24"/>
    <n v="9009.24"/>
    <n v="3546.31"/>
  </r>
  <r>
    <s v="18-01-2026"/>
    <x v="0"/>
    <n v="314008.3"/>
    <n v="616559.23"/>
    <n v="195383.29"/>
    <n v="195383.29"/>
    <s v="-"/>
  </r>
  <r>
    <s v="18-01-2026"/>
    <x v="1"/>
    <n v="20370.3"/>
    <n v="42271.3"/>
    <n v="10849.6"/>
    <n v="10849.6"/>
    <n v="4881.16"/>
  </r>
  <r>
    <s v="18-01-2026"/>
    <x v="2"/>
    <n v="10075"/>
    <n v="14167.6"/>
    <n v="5615.2"/>
    <n v="5615.2"/>
    <n v="1783.8"/>
  </r>
  <r>
    <s v="18-01-2026"/>
    <x v="3"/>
    <n v="13083.68"/>
    <n v="25689.97"/>
    <n v="8140.97"/>
    <n v="8140.97"/>
    <n v="2908.16"/>
  </r>
  <r>
    <s v="19-01-2026"/>
    <x v="0"/>
    <n v="372790.83"/>
    <n v="579823.43000000005"/>
    <n v="217555.6"/>
    <n v="217555.6"/>
    <s v="-"/>
  </r>
  <r>
    <s v="19-01-2026"/>
    <x v="1"/>
    <n v="23472.6"/>
    <n v="39528.699999999997"/>
    <n v="11799.6"/>
    <n v="11799.6"/>
    <n v="10000"/>
  </r>
  <r>
    <s v="19-01-2026"/>
    <x v="2"/>
    <n v="10100.1"/>
    <n v="9959.2000000000007"/>
    <n v="6341.96"/>
    <n v="6341.96"/>
    <n v="1999.27"/>
  </r>
  <r>
    <s v="19-01-2026"/>
    <x v="3"/>
    <n v="15532.95"/>
    <n v="24159.31"/>
    <n v="9064.82"/>
    <n v="9064.82"/>
    <n v="3888.74"/>
  </r>
  <r>
    <s v="20-01-2026"/>
    <x v="0"/>
    <n v="380185.63"/>
    <n v="532185.13"/>
    <n v="199707.87"/>
    <n v="199707.87"/>
    <s v="-"/>
  </r>
  <r>
    <s v="20-01-2026"/>
    <x v="1"/>
    <n v="25858.1"/>
    <n v="39763.199999999997"/>
    <n v="11930.1"/>
    <n v="11930.1"/>
    <n v="10000"/>
  </r>
  <r>
    <s v="20-01-2026"/>
    <x v="2"/>
    <n v="10738.5"/>
    <n v="9346.1"/>
    <n v="5604.8"/>
    <n v="5604.8"/>
    <n v="2020.35"/>
  </r>
  <r>
    <s v="20-01-2026"/>
    <x v="3"/>
    <n v="15841.07"/>
    <n v="22174.38"/>
    <n v="8321.16"/>
    <n v="8321.16"/>
    <n v="4144.09"/>
  </r>
  <r>
    <s v="21-01-2026"/>
    <x v="0"/>
    <n v="389195.05"/>
    <n v="529748.73"/>
    <n v="203811.07"/>
    <n v="203811.07"/>
    <s v="-"/>
  </r>
  <r>
    <s v="21-01-2026"/>
    <x v="1"/>
    <n v="27933.200000000001"/>
    <n v="40457.4"/>
    <n v="11503.59"/>
    <n v="11503.59"/>
    <n v="10000"/>
  </r>
  <r>
    <s v="21-01-2026"/>
    <x v="2"/>
    <n v="10784.7"/>
    <n v="8599.2999999999993"/>
    <n v="6020.91"/>
    <n v="6020.91"/>
    <n v="1998.75"/>
  </r>
  <r>
    <s v="21-01-2026"/>
    <x v="3"/>
    <n v="16216.46"/>
    <n v="22072.86"/>
    <n v="8492.1299999999992"/>
    <n v="8492.1299999999992"/>
    <n v="4327.87"/>
  </r>
  <r>
    <s v="22-01-2026"/>
    <x v="0"/>
    <n v="341799.35"/>
    <n v="552132.5"/>
    <n v="193898.11"/>
    <n v="193898.11"/>
    <s v="-"/>
  </r>
  <r>
    <s v="22-01-2026"/>
    <x v="1"/>
    <n v="27298.799999999999"/>
    <n v="40736.699999999997"/>
    <n v="11586.6"/>
    <n v="11586.6"/>
    <n v="10000"/>
  </r>
  <r>
    <s v="22-01-2026"/>
    <x v="2"/>
    <n v="9209"/>
    <n v="8835"/>
    <n v="5062.2"/>
    <n v="5062.2"/>
    <n v="1950.9"/>
  </r>
  <r>
    <s v="22-01-2026"/>
    <x v="3"/>
    <n v="14241.64"/>
    <n v="23005.52"/>
    <n v="8079.09"/>
    <n v="8079.09"/>
    <n v="3964.03"/>
  </r>
  <r>
    <s v="23-01-2026"/>
    <x v="0"/>
    <n v="349395.08"/>
    <n v="600289.13"/>
    <n v="207139.37"/>
    <n v="207139.37"/>
    <s v="-"/>
  </r>
  <r>
    <s v="23-01-2026"/>
    <x v="1"/>
    <n v="23908.6"/>
    <n v="41717.9"/>
    <n v="12683.1"/>
    <n v="12683.1"/>
    <n v="10000"/>
  </r>
  <r>
    <s v="23-01-2026"/>
    <x v="2"/>
    <n v="10063.1"/>
    <n v="8028.8"/>
    <n v="5787.9"/>
    <n v="5787.9"/>
    <n v="1801"/>
  </r>
  <r>
    <s v="23-01-2026"/>
    <x v="3"/>
    <n v="14558.13"/>
    <n v="25012.05"/>
    <n v="8630.81"/>
    <n v="8630.81"/>
    <n v="3806.96"/>
  </r>
  <r>
    <s v="24-01-2026"/>
    <x v="0"/>
    <n v="324883.13"/>
    <n v="583591.03"/>
    <n v="203680.1"/>
    <n v="203680.1"/>
    <s v="-"/>
  </r>
  <r>
    <s v="24-01-2026"/>
    <x v="1"/>
    <n v="21209.9"/>
    <n v="41399.199999999997"/>
    <n v="11948.9"/>
    <n v="11948.9"/>
    <n v="6999.36"/>
  </r>
  <r>
    <s v="24-01-2026"/>
    <x v="2"/>
    <n v="9527.2000000000007"/>
    <n v="8747.4"/>
    <n v="5649.41"/>
    <n v="5649.41"/>
    <n v="1804.79"/>
  </r>
  <r>
    <s v="24-01-2026"/>
    <x v="3"/>
    <n v="13536.8"/>
    <n v="24316.29"/>
    <n v="8486.67"/>
    <n v="8486.67"/>
    <n v="3000.4"/>
  </r>
  <r>
    <s v="25-01-2026"/>
    <x v="0"/>
    <n v="289178.45"/>
    <n v="712993.73"/>
    <n v="197158.89"/>
    <n v="197158.89"/>
    <s v="-"/>
  </r>
  <r>
    <s v="25-01-2026"/>
    <x v="1"/>
    <n v="17115.099999999999"/>
    <n v="48085.1"/>
    <n v="10791"/>
    <n v="10791"/>
    <n v="4129.57"/>
  </r>
  <r>
    <s v="25-01-2026"/>
    <x v="2"/>
    <n v="8267.2999999999993"/>
    <n v="16869"/>
    <n v="5773.2"/>
    <n v="5773.2"/>
    <n v="1529.55"/>
  </r>
  <r>
    <s v="25-01-2026"/>
    <x v="3"/>
    <n v="12049.1"/>
    <n v="29708.07"/>
    <n v="8214.9500000000007"/>
    <n v="8214.9500000000007"/>
    <n v="2406.85"/>
  </r>
  <r>
    <s v="26-01-2026"/>
    <x v="0"/>
    <n v="288368.40000000002"/>
    <n v="628370.18000000005"/>
    <n v="192013.23"/>
    <n v="192013.23"/>
    <s v="-"/>
  </r>
  <r>
    <s v="26-01-2026"/>
    <x v="1"/>
    <n v="19270.599999999999"/>
    <n v="40382.800000000003"/>
    <n v="10503.2"/>
    <n v="10503.2"/>
    <n v="5023.9799999999996"/>
  </r>
  <r>
    <s v="26-01-2026"/>
    <x v="2"/>
    <n v="8220.7000000000007"/>
    <n v="14121.5"/>
    <n v="5516.6"/>
    <n v="5516.6"/>
    <n v="1433.81"/>
  </r>
  <r>
    <s v="26-01-2026"/>
    <x v="3"/>
    <n v="12015.35"/>
    <n v="26182.09"/>
    <n v="8000.55"/>
    <n v="8000.55"/>
    <n v="2624.47"/>
  </r>
  <r>
    <s v="27-01-2026"/>
    <x v="0"/>
    <n v="336769.5"/>
    <n v="652899.32999999996"/>
    <n v="213612.69"/>
    <n v="213612.69"/>
    <s v="-"/>
  </r>
  <r>
    <s v="27-01-2026"/>
    <x v="1"/>
    <n v="23387"/>
    <n v="44966.7"/>
    <n v="12409.7"/>
    <n v="12409.7"/>
    <n v="10000"/>
  </r>
  <r>
    <s v="27-01-2026"/>
    <x v="2"/>
    <n v="9509.1"/>
    <n v="10601.3"/>
    <n v="5690.4"/>
    <n v="5690.4"/>
    <n v="1724.93"/>
  </r>
  <r>
    <s v="27-01-2026"/>
    <x v="3"/>
    <n v="14032.06"/>
    <n v="27204.14"/>
    <n v="8900.5300000000007"/>
    <n v="8900.5300000000007"/>
    <n v="3232.41"/>
  </r>
  <r>
    <s v="28-01-2026"/>
    <x v="0"/>
    <n v="347407.5"/>
    <n v="672415.93"/>
    <n v="227492.23"/>
    <n v="227492.23"/>
    <s v="-"/>
  </r>
  <r>
    <s v="28-01-2026"/>
    <x v="1"/>
    <n v="23157.4"/>
    <n v="45610.5"/>
    <n v="13128.6"/>
    <n v="13128.6"/>
    <n v="10000"/>
  </r>
  <r>
    <s v="28-01-2026"/>
    <x v="2"/>
    <n v="10144.5"/>
    <n v="11480"/>
    <n v="6390.5"/>
    <n v="6390.5"/>
    <n v="1800.24"/>
  </r>
  <r>
    <s v="28-01-2026"/>
    <x v="3"/>
    <n v="14475.31"/>
    <n v="28017.33"/>
    <n v="9478.84"/>
    <n v="9478.84"/>
    <n v="3217.01"/>
  </r>
  <r>
    <s v="29-01-2026"/>
    <x v="0"/>
    <n v="376986.98"/>
    <n v="651763.68000000005"/>
    <n v="228224.2"/>
    <n v="228224.2"/>
    <s v="-"/>
  </r>
  <r>
    <s v="29-01-2026"/>
    <x v="1"/>
    <n v="25082.799999999999"/>
    <n v="45162.3"/>
    <n v="14141.1"/>
    <n v="14141.1"/>
    <n v="8999.1"/>
  </r>
  <r>
    <s v="29-01-2026"/>
    <x v="2"/>
    <n v="10610.9"/>
    <n v="12372.3"/>
    <n v="6210.9"/>
    <n v="6210.9"/>
    <n v="1865.83"/>
  </r>
  <r>
    <s v="29-01-2026"/>
    <x v="3"/>
    <n v="15707.79"/>
    <n v="27156.82"/>
    <n v="9509.34"/>
    <n v="9509.34"/>
    <n v="3150.51"/>
  </r>
  <r>
    <s v="30-01-2026"/>
    <x v="0"/>
    <n v="350944.15"/>
    <n v="630781.4"/>
    <n v="213921.14"/>
    <n v="213921.14"/>
    <s v="-"/>
  </r>
  <r>
    <s v="30-01-2026"/>
    <x v="1"/>
    <n v="23365"/>
    <n v="46208.5"/>
    <n v="11786.7"/>
    <n v="11786.7"/>
    <n v="8997.27"/>
  </r>
  <r>
    <s v="30-01-2026"/>
    <x v="2"/>
    <n v="9637.7999999999993"/>
    <n v="12411.3"/>
    <n v="6333.64"/>
    <n v="6333.64"/>
    <n v="1819.88"/>
  </r>
  <r>
    <s v="30-01-2026"/>
    <x v="3"/>
    <n v="14622.67"/>
    <n v="26282.560000000001"/>
    <n v="8913.3799999999992"/>
    <n v="8913.3799999999992"/>
    <n v="3053.18"/>
  </r>
  <r>
    <s v="31-01-2026"/>
    <x v="0"/>
    <n v="337725.15"/>
    <n v="683911.3"/>
    <n v="221798.95"/>
    <n v="221798.95"/>
    <s v="-"/>
  </r>
  <r>
    <s v="31-01-2026"/>
    <x v="1"/>
    <n v="22856.1"/>
    <n v="50561.599999999999"/>
    <n v="12934.9"/>
    <n v="12934.9"/>
    <n v="5668.42"/>
  </r>
  <r>
    <s v="31-01-2026"/>
    <x v="2"/>
    <n v="9675.6"/>
    <n v="13997.3"/>
    <n v="6119.1"/>
    <n v="6119.1"/>
    <n v="1529.24"/>
  </r>
  <r>
    <s v="31-01-2026"/>
    <x v="3"/>
    <n v="14071.88"/>
    <n v="28496.3"/>
    <n v="9241.6200000000008"/>
    <n v="9241.6200000000008"/>
    <n v="2821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BCA7A-86FF-42F0-A28B-257388FD943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Purchase Bid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4776A-A512-415D-A8DE-E1F93B6C12D1}" name="Table1" displayName="Table1" ref="I1:O125" totalsRowShown="0" headerRowDxfId="0" dataDxfId="1" headerRowBorderDxfId="9" tableBorderDxfId="10">
  <autoFilter ref="I1:O125" xr:uid="{E5C4776A-A512-415D-A8DE-E1F93B6C12D1}"/>
  <tableColumns count="7">
    <tableColumn id="1" xr3:uid="{549D9131-7F88-42C0-801E-B27FF1A790EB}" name="Date" dataDxfId="8"/>
    <tableColumn id="2" xr3:uid="{0A63024F-516F-4671-8865-06593496F401}" name="Summary" dataDxfId="7"/>
    <tableColumn id="3" xr3:uid="{8B0015A2-46B4-4257-85E4-615B319DC36F}" name="Purchase Bid" dataDxfId="6"/>
    <tableColumn id="4" xr3:uid="{CBC0039A-6756-4118-A662-FBB594DA143A}" name="Sell Bid" dataDxfId="5"/>
    <tableColumn id="5" xr3:uid="{EA8BD686-4582-4427-AB4C-27F0261E64DA}" name="MCV" dataDxfId="4"/>
    <tableColumn id="6" xr3:uid="{18DA1973-1F98-404F-809D-0F428005FB78}" name="Final Scheduled Volume" dataDxfId="3"/>
    <tableColumn id="7" xr3:uid="{22D16480-6D5D-4E0B-A9CB-435B89050D77}" name="MCP (Rs/MWh) *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A578-DB2D-4487-8563-F86819DC4E60}">
  <dimension ref="A3:B8"/>
  <sheetViews>
    <sheetView workbookViewId="0">
      <selection activeCell="B4" sqref="B4"/>
    </sheetView>
  </sheetViews>
  <sheetFormatPr defaultRowHeight="18"/>
  <cols>
    <col min="1" max="1" width="11.4140625" bestFit="1" customWidth="1"/>
    <col min="2" max="2" width="16.6640625" bestFit="1" customWidth="1"/>
  </cols>
  <sheetData>
    <row r="3" spans="1:2">
      <c r="A3" s="12" t="s">
        <v>68</v>
      </c>
      <c r="B3" t="s">
        <v>70</v>
      </c>
    </row>
    <row r="4" spans="1:2">
      <c r="A4" s="13" t="s">
        <v>13</v>
      </c>
      <c r="B4" s="14">
        <v>17474.5</v>
      </c>
    </row>
    <row r="5" spans="1:2">
      <c r="A5" s="13" t="s">
        <v>11</v>
      </c>
      <c r="B5" s="14">
        <v>30487.5</v>
      </c>
    </row>
    <row r="6" spans="1:2">
      <c r="A6" s="13" t="s">
        <v>12</v>
      </c>
      <c r="B6" s="14">
        <v>12018.2</v>
      </c>
    </row>
    <row r="7" spans="1:2">
      <c r="A7" s="13" t="s">
        <v>9</v>
      </c>
      <c r="B7" s="14">
        <v>419387.98</v>
      </c>
    </row>
    <row r="8" spans="1:2">
      <c r="A8" s="13" t="s">
        <v>69</v>
      </c>
      <c r="B8" s="14">
        <v>419387.98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B574-05D3-4474-AFA4-706F7C6B3612}">
  <dimension ref="A1:O125"/>
  <sheetViews>
    <sheetView tabSelected="1" workbookViewId="0">
      <selection activeCell="C10" sqref="C10"/>
    </sheetView>
  </sheetViews>
  <sheetFormatPr defaultRowHeight="18"/>
  <cols>
    <col min="1" max="1" width="16.08203125" bestFit="1" customWidth="1"/>
    <col min="11" max="11" width="11.4140625" customWidth="1"/>
    <col min="14" max="14" width="18.6640625" customWidth="1"/>
    <col min="15" max="15" width="14" customWidth="1"/>
  </cols>
  <sheetData>
    <row r="1" spans="1:15" ht="40.200000000000003" thickBot="1"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</row>
    <row r="2" spans="1:15" ht="18.600000000000001" thickBot="1">
      <c r="A2" t="s">
        <v>0</v>
      </c>
      <c r="C2">
        <v>30487</v>
      </c>
      <c r="D2" t="s">
        <v>40</v>
      </c>
      <c r="I2" s="1">
        <v>46023</v>
      </c>
      <c r="J2" s="2" t="s">
        <v>9</v>
      </c>
      <c r="K2" s="2">
        <v>337096.1</v>
      </c>
      <c r="L2" s="2">
        <v>398852.48</v>
      </c>
      <c r="M2" s="2">
        <v>157617.9</v>
      </c>
      <c r="N2" s="2">
        <v>157617.9</v>
      </c>
      <c r="O2" s="2" t="s">
        <v>10</v>
      </c>
    </row>
    <row r="3" spans="1:15" ht="18.600000000000001" thickBot="1">
      <c r="B3" t="s">
        <v>8</v>
      </c>
      <c r="I3" s="1">
        <v>46023</v>
      </c>
      <c r="J3" s="2" t="s">
        <v>11</v>
      </c>
      <c r="K3" s="2">
        <v>23105.599999999999</v>
      </c>
      <c r="L3" s="2">
        <v>28267.7</v>
      </c>
      <c r="M3" s="2">
        <v>11296</v>
      </c>
      <c r="N3" s="2">
        <v>11296</v>
      </c>
      <c r="O3" s="2">
        <v>10000</v>
      </c>
    </row>
    <row r="4" spans="1:15" ht="18.600000000000001" thickBot="1">
      <c r="A4" t="s">
        <v>1</v>
      </c>
      <c r="B4">
        <v>10.55</v>
      </c>
      <c r="C4">
        <f>B4/100*$C$2</f>
        <v>3216.3785000000003</v>
      </c>
      <c r="I4" s="1">
        <v>46023</v>
      </c>
      <c r="J4" s="2" t="s">
        <v>12</v>
      </c>
      <c r="K4" s="2">
        <v>9107.2000000000007</v>
      </c>
      <c r="L4" s="2">
        <v>4749.7</v>
      </c>
      <c r="M4" s="2">
        <v>4454.7</v>
      </c>
      <c r="N4" s="2">
        <v>4454.7</v>
      </c>
      <c r="O4" s="2">
        <v>2580.17</v>
      </c>
    </row>
    <row r="5" spans="1:15" ht="18.600000000000001" thickBot="1">
      <c r="A5" t="s">
        <v>2</v>
      </c>
      <c r="B5">
        <v>30.3</v>
      </c>
      <c r="C5">
        <f t="shared" ref="C5:C10" si="0">B5/100*$C$2</f>
        <v>9237.5609999999997</v>
      </c>
      <c r="I5" s="1">
        <v>46023</v>
      </c>
      <c r="J5" s="2" t="s">
        <v>13</v>
      </c>
      <c r="K5" s="2">
        <v>14045.67</v>
      </c>
      <c r="L5" s="2">
        <v>16618.849999999999</v>
      </c>
      <c r="M5" s="2">
        <v>6567.41</v>
      </c>
      <c r="N5" s="2">
        <v>6567.41</v>
      </c>
      <c r="O5" s="2">
        <v>4485.57</v>
      </c>
    </row>
    <row r="6" spans="1:15" ht="18.600000000000001" thickBot="1">
      <c r="A6" t="s">
        <v>3</v>
      </c>
      <c r="B6">
        <v>3.5</v>
      </c>
      <c r="C6">
        <f t="shared" si="0"/>
        <v>1067.0450000000001</v>
      </c>
      <c r="I6" s="1">
        <v>46054</v>
      </c>
      <c r="J6" s="2" t="s">
        <v>9</v>
      </c>
      <c r="K6" s="2">
        <v>381999.28</v>
      </c>
      <c r="L6" s="2">
        <v>412576.98</v>
      </c>
      <c r="M6" s="2">
        <v>171378.54</v>
      </c>
      <c r="N6" s="2">
        <v>171378.54</v>
      </c>
      <c r="O6" s="2" t="s">
        <v>10</v>
      </c>
    </row>
    <row r="7" spans="1:15" ht="18.600000000000001" thickBot="1">
      <c r="A7" t="s">
        <v>4</v>
      </c>
      <c r="B7">
        <v>1.58</v>
      </c>
      <c r="C7">
        <f t="shared" si="0"/>
        <v>481.69460000000004</v>
      </c>
      <c r="I7" s="1">
        <v>46054</v>
      </c>
      <c r="J7" s="2" t="s">
        <v>11</v>
      </c>
      <c r="K7" s="2">
        <v>25232.1</v>
      </c>
      <c r="L7" s="2">
        <v>28964</v>
      </c>
      <c r="M7" s="2">
        <v>10589.38</v>
      </c>
      <c r="N7" s="2">
        <v>10589.38</v>
      </c>
      <c r="O7" s="2">
        <v>10000</v>
      </c>
    </row>
    <row r="8" spans="1:15" ht="18.600000000000001" thickBot="1">
      <c r="A8" t="s">
        <v>5</v>
      </c>
      <c r="B8">
        <v>9.39</v>
      </c>
      <c r="C8">
        <f t="shared" si="0"/>
        <v>2862.7293000000004</v>
      </c>
      <c r="I8" s="1">
        <v>46054</v>
      </c>
      <c r="J8" s="2" t="s">
        <v>12</v>
      </c>
      <c r="K8" s="2">
        <v>10703.1</v>
      </c>
      <c r="L8" s="2">
        <v>4249.8999999999996</v>
      </c>
      <c r="M8" s="2">
        <v>3809.87</v>
      </c>
      <c r="N8" s="2">
        <v>3809.87</v>
      </c>
      <c r="O8" s="2">
        <v>2670.35</v>
      </c>
    </row>
    <row r="9" spans="1:15" ht="18.600000000000001" thickBot="1">
      <c r="A9" t="s">
        <v>6</v>
      </c>
      <c r="B9">
        <v>41.62</v>
      </c>
      <c r="C9">
        <f t="shared" si="0"/>
        <v>12688.689399999999</v>
      </c>
      <c r="I9" s="1">
        <v>46054</v>
      </c>
      <c r="J9" s="2" t="s">
        <v>13</v>
      </c>
      <c r="K9" s="2">
        <v>15916.64</v>
      </c>
      <c r="L9" s="2">
        <v>17190.71</v>
      </c>
      <c r="M9" s="2">
        <v>7140.77</v>
      </c>
      <c r="N9" s="2">
        <v>7140.77</v>
      </c>
      <c r="O9" s="2">
        <v>4838.74</v>
      </c>
    </row>
    <row r="10" spans="1:15" ht="18.600000000000001" thickBot="1">
      <c r="A10" t="s">
        <v>7</v>
      </c>
      <c r="B10">
        <v>2.12</v>
      </c>
      <c r="C10">
        <f t="shared" si="0"/>
        <v>646.32439999999997</v>
      </c>
      <c r="I10" s="1">
        <v>46082</v>
      </c>
      <c r="J10" s="2" t="s">
        <v>9</v>
      </c>
      <c r="K10" s="2">
        <v>371384.45</v>
      </c>
      <c r="L10" s="2">
        <v>453195.88</v>
      </c>
      <c r="M10" s="2">
        <v>178365.58</v>
      </c>
      <c r="N10" s="2">
        <v>178365.58</v>
      </c>
      <c r="O10" s="2" t="s">
        <v>10</v>
      </c>
    </row>
    <row r="11" spans="1:15" ht="18.600000000000001" thickBot="1">
      <c r="I11" s="1">
        <v>46082</v>
      </c>
      <c r="J11" s="2" t="s">
        <v>11</v>
      </c>
      <c r="K11" s="2">
        <v>24442.5</v>
      </c>
      <c r="L11" s="2">
        <v>30999.5</v>
      </c>
      <c r="M11" s="2">
        <v>10942.7</v>
      </c>
      <c r="N11" s="2">
        <v>10942.7</v>
      </c>
      <c r="O11" s="2">
        <v>10000</v>
      </c>
    </row>
    <row r="12" spans="1:15" ht="18.600000000000001" thickBot="1">
      <c r="I12" s="1">
        <v>46082</v>
      </c>
      <c r="J12" s="2" t="s">
        <v>12</v>
      </c>
      <c r="K12" s="2">
        <v>11712.1</v>
      </c>
      <c r="L12" s="2">
        <v>5247.3</v>
      </c>
      <c r="M12" s="2">
        <v>4093</v>
      </c>
      <c r="N12" s="2">
        <v>4093</v>
      </c>
      <c r="O12" s="2">
        <v>2670.8</v>
      </c>
    </row>
    <row r="13" spans="1:15" ht="18.600000000000001" thickBot="1">
      <c r="I13" s="1">
        <v>46082</v>
      </c>
      <c r="J13" s="2" t="s">
        <v>13</v>
      </c>
      <c r="K13" s="2">
        <v>15474.35</v>
      </c>
      <c r="L13" s="2">
        <v>18883.16</v>
      </c>
      <c r="M13" s="2">
        <v>7431.9</v>
      </c>
      <c r="N13" s="2">
        <v>7431.9</v>
      </c>
      <c r="O13" s="2">
        <v>4515.37</v>
      </c>
    </row>
    <row r="14" spans="1:15" ht="18.600000000000001" thickBot="1">
      <c r="A14" t="s">
        <v>46</v>
      </c>
      <c r="B14" cm="1">
        <f t="array" aca="1" ref="B14:B18" ca="1">_xlfn.LET(_xlpm.r, _xlfn.RANDARRAY(5), (_xlpm.r/SUM(_xlpm.r))*C4)</f>
        <v>560.87133726573427</v>
      </c>
      <c r="D14" t="s">
        <v>41</v>
      </c>
      <c r="E14" cm="1">
        <f t="array" aca="1" ref="E14:E19" ca="1">_xlfn.LET(_xlpm.r, _xlfn.RANDARRAY(6), (_xlpm.r/SUM(_xlpm.r))*C9)</f>
        <v>3429.3355904425202</v>
      </c>
      <c r="I14" s="1">
        <v>46113</v>
      </c>
      <c r="J14" s="2" t="s">
        <v>9</v>
      </c>
      <c r="K14" s="2">
        <v>319013.83</v>
      </c>
      <c r="L14" s="2">
        <v>504189.58</v>
      </c>
      <c r="M14" s="2">
        <v>158611.62</v>
      </c>
      <c r="N14" s="2">
        <v>158611.62</v>
      </c>
      <c r="O14" s="2" t="s">
        <v>10</v>
      </c>
    </row>
    <row r="15" spans="1:15" ht="18.600000000000001" thickBot="1">
      <c r="A15" t="s">
        <v>47</v>
      </c>
      <c r="B15">
        <f ca="1"/>
        <v>730.67758956256284</v>
      </c>
      <c r="D15" t="s">
        <v>42</v>
      </c>
      <c r="E15">
        <f ca="1"/>
        <v>299.44355532700865</v>
      </c>
      <c r="I15" s="1">
        <v>46113</v>
      </c>
      <c r="J15" s="2" t="s">
        <v>11</v>
      </c>
      <c r="K15" s="2">
        <v>18410.3</v>
      </c>
      <c r="L15" s="2">
        <v>31416.799999999999</v>
      </c>
      <c r="M15" s="2">
        <v>9944.7999999999993</v>
      </c>
      <c r="N15" s="2">
        <v>9944.7999999999993</v>
      </c>
      <c r="O15" s="2">
        <v>5450.8</v>
      </c>
    </row>
    <row r="16" spans="1:15" ht="18.600000000000001" thickBot="1">
      <c r="A16" t="s">
        <v>48</v>
      </c>
      <c r="B16">
        <f ca="1"/>
        <v>690.61373165728662</v>
      </c>
      <c r="D16" t="s">
        <v>43</v>
      </c>
      <c r="E16">
        <f ca="1"/>
        <v>2397.5703952926624</v>
      </c>
      <c r="I16" s="1">
        <v>46113</v>
      </c>
      <c r="J16" s="2" t="s">
        <v>12</v>
      </c>
      <c r="K16" s="2">
        <v>9889.6</v>
      </c>
      <c r="L16" s="2">
        <v>9171.2000000000007</v>
      </c>
      <c r="M16" s="2">
        <v>4977</v>
      </c>
      <c r="N16" s="2">
        <v>4977</v>
      </c>
      <c r="O16" s="2">
        <v>2590.0700000000002</v>
      </c>
    </row>
    <row r="17" spans="1:15" ht="18.600000000000001" thickBot="1">
      <c r="A17" t="s">
        <v>49</v>
      </c>
      <c r="B17">
        <f ca="1"/>
        <v>648.46425914125621</v>
      </c>
      <c r="D17" t="s">
        <v>44</v>
      </c>
      <c r="E17">
        <f ca="1"/>
        <v>3464.5783231851365</v>
      </c>
      <c r="I17" s="1">
        <v>46113</v>
      </c>
      <c r="J17" s="2" t="s">
        <v>13</v>
      </c>
      <c r="K17" s="2">
        <v>13292.24</v>
      </c>
      <c r="L17" s="2">
        <v>21007.9</v>
      </c>
      <c r="M17" s="2">
        <v>6608.82</v>
      </c>
      <c r="N17" s="2">
        <v>6608.82</v>
      </c>
      <c r="O17" s="2">
        <v>3413.45</v>
      </c>
    </row>
    <row r="18" spans="1:15" ht="18.600000000000001" thickBot="1">
      <c r="A18" t="s">
        <v>50</v>
      </c>
      <c r="B18">
        <f ca="1"/>
        <v>585.75158237316032</v>
      </c>
      <c r="D18" t="s">
        <v>45</v>
      </c>
      <c r="E18">
        <f ca="1"/>
        <v>2275.0084670313659</v>
      </c>
      <c r="I18" s="1">
        <v>46143</v>
      </c>
      <c r="J18" s="2" t="s">
        <v>9</v>
      </c>
      <c r="K18" s="2">
        <v>353059.7</v>
      </c>
      <c r="L18" s="2">
        <v>495933.48</v>
      </c>
      <c r="M18" s="2">
        <v>180916.38</v>
      </c>
      <c r="N18" s="2">
        <v>180916.38</v>
      </c>
      <c r="O18" s="2" t="s">
        <v>10</v>
      </c>
    </row>
    <row r="19" spans="1:15" ht="18.600000000000001" thickBot="1">
      <c r="D19" t="s">
        <v>64</v>
      </c>
      <c r="E19">
        <f ca="1"/>
        <v>822.75306872130591</v>
      </c>
      <c r="I19" s="1">
        <v>46143</v>
      </c>
      <c r="J19" s="2" t="s">
        <v>11</v>
      </c>
      <c r="K19" s="2">
        <v>20619.900000000001</v>
      </c>
      <c r="L19" s="2">
        <v>34642.800000000003</v>
      </c>
      <c r="M19" s="2">
        <v>11954.3</v>
      </c>
      <c r="N19" s="2">
        <v>11954.3</v>
      </c>
      <c r="O19" s="2">
        <v>10000</v>
      </c>
    </row>
    <row r="20" spans="1:15" ht="18.600000000000001" thickBot="1">
      <c r="A20" t="s">
        <v>52</v>
      </c>
      <c r="B20" cm="1">
        <f t="array" aca="1" ref="B20:B21" ca="1">_xlfn.LET(_xlpm.r, _xlfn.RANDARRAY(2), (_xlpm.r/SUM(_xlpm.r))*C8)</f>
        <v>2065.694387836973</v>
      </c>
      <c r="I20" s="1">
        <v>46143</v>
      </c>
      <c r="J20" s="2" t="s">
        <v>12</v>
      </c>
      <c r="K20" s="2">
        <v>9520.9</v>
      </c>
      <c r="L20" s="2">
        <v>6254.8</v>
      </c>
      <c r="M20" s="2">
        <v>4197.3999999999996</v>
      </c>
      <c r="N20" s="2">
        <v>4197.3999999999996</v>
      </c>
      <c r="O20" s="2">
        <v>2314.48</v>
      </c>
    </row>
    <row r="21" spans="1:15" ht="18.600000000000001" thickBot="1">
      <c r="A21" t="s">
        <v>51</v>
      </c>
      <c r="B21">
        <f ca="1"/>
        <v>797.03491216302746</v>
      </c>
      <c r="I21" s="1">
        <v>46143</v>
      </c>
      <c r="J21" s="2" t="s">
        <v>13</v>
      </c>
      <c r="K21" s="2">
        <v>14710.82</v>
      </c>
      <c r="L21" s="2">
        <v>20663.89</v>
      </c>
      <c r="M21" s="2">
        <v>7538.18</v>
      </c>
      <c r="N21" s="2">
        <v>7538.18</v>
      </c>
      <c r="O21" s="2">
        <v>4198.62</v>
      </c>
    </row>
    <row r="22" spans="1:15" ht="18.600000000000001" thickBot="1">
      <c r="I22" s="1">
        <v>46174</v>
      </c>
      <c r="J22" s="2" t="s">
        <v>9</v>
      </c>
      <c r="K22" s="2">
        <v>392608.13</v>
      </c>
      <c r="L22" s="2">
        <v>491116.79999999999</v>
      </c>
      <c r="M22" s="2">
        <v>191056.44</v>
      </c>
      <c r="N22" s="2">
        <v>191056.44</v>
      </c>
      <c r="O22" s="2" t="s">
        <v>10</v>
      </c>
    </row>
    <row r="23" spans="1:15" ht="18.600000000000001" thickBot="1">
      <c r="A23" t="s">
        <v>53</v>
      </c>
      <c r="B23" cm="1">
        <f t="array" aca="1" ref="B23:B29" ca="1">_xlfn.LET(_xlpm.r, _xlfn.RANDARRAY(7), (_xlpm.r/SUM(_xlpm.r))*C6)</f>
        <v>252.71495764968276</v>
      </c>
      <c r="D23" t="s">
        <v>60</v>
      </c>
      <c r="E23" cm="1">
        <f t="array" aca="1" ref="E23:E26" ca="1">_xlfn.LET(_xlpm.r, _xlfn.RANDARRAY(4), (_xlpm.r/SUM(_xlpm.r))*C7)</f>
        <v>127.0498013762512</v>
      </c>
      <c r="I23" s="1">
        <v>46174</v>
      </c>
      <c r="J23" s="2" t="s">
        <v>11</v>
      </c>
      <c r="K23" s="2">
        <v>23179.1</v>
      </c>
      <c r="L23" s="2">
        <v>34398</v>
      </c>
      <c r="M23" s="2">
        <v>10242.1</v>
      </c>
      <c r="N23" s="2">
        <v>10242.1</v>
      </c>
      <c r="O23" s="2">
        <v>10000</v>
      </c>
    </row>
    <row r="24" spans="1:15" ht="18.600000000000001" thickBot="1">
      <c r="A24" t="s">
        <v>54</v>
      </c>
      <c r="B24">
        <f ca="1"/>
        <v>263.85595660670532</v>
      </c>
      <c r="D24" t="s">
        <v>61</v>
      </c>
      <c r="E24">
        <f ca="1"/>
        <v>159.08648284503204</v>
      </c>
      <c r="I24" s="1">
        <v>46174</v>
      </c>
      <c r="J24" s="2" t="s">
        <v>12</v>
      </c>
      <c r="K24" s="2">
        <v>11877.6</v>
      </c>
      <c r="L24" s="2">
        <v>7059.2</v>
      </c>
      <c r="M24" s="2">
        <v>5186.6000000000004</v>
      </c>
      <c r="N24" s="2">
        <v>5186.6000000000004</v>
      </c>
      <c r="O24" s="2">
        <v>2416.85</v>
      </c>
    </row>
    <row r="25" spans="1:15" ht="18.600000000000001" thickBot="1">
      <c r="A25" t="s">
        <v>55</v>
      </c>
      <c r="B25">
        <f ca="1"/>
        <v>136.0348475636184</v>
      </c>
      <c r="D25" t="s">
        <v>62</v>
      </c>
      <c r="E25">
        <f ca="1"/>
        <v>23.882928866245766</v>
      </c>
      <c r="I25" s="1">
        <v>46174</v>
      </c>
      <c r="J25" s="2" t="s">
        <v>13</v>
      </c>
      <c r="K25" s="2">
        <v>16358.67</v>
      </c>
      <c r="L25" s="2">
        <v>20463.2</v>
      </c>
      <c r="M25" s="2">
        <v>7960.69</v>
      </c>
      <c r="N25" s="2">
        <v>7960.69</v>
      </c>
      <c r="O25" s="2">
        <v>4162.88</v>
      </c>
    </row>
    <row r="26" spans="1:15" ht="18.600000000000001" thickBot="1">
      <c r="A26" t="s">
        <v>56</v>
      </c>
      <c r="B26">
        <f ca="1"/>
        <v>10.632238181852239</v>
      </c>
      <c r="D26" t="s">
        <v>63</v>
      </c>
      <c r="E26">
        <f ca="1"/>
        <v>171.67538691247105</v>
      </c>
      <c r="I26" s="1">
        <v>46204</v>
      </c>
      <c r="J26" s="2" t="s">
        <v>9</v>
      </c>
      <c r="K26" s="2">
        <v>412234.35</v>
      </c>
      <c r="L26" s="2">
        <v>452351.38</v>
      </c>
      <c r="M26" s="2">
        <v>181427.26</v>
      </c>
      <c r="N26" s="2">
        <v>181427.26</v>
      </c>
      <c r="O26" s="2" t="s">
        <v>10</v>
      </c>
    </row>
    <row r="27" spans="1:15" ht="18.600000000000001" thickBot="1">
      <c r="A27" t="s">
        <v>57</v>
      </c>
      <c r="B27">
        <f ca="1"/>
        <v>238.41891182495493</v>
      </c>
      <c r="I27" s="1">
        <v>46204</v>
      </c>
      <c r="J27" s="2" t="s">
        <v>11</v>
      </c>
      <c r="K27" s="2">
        <v>26974.1</v>
      </c>
      <c r="L27" s="2">
        <v>31711.3</v>
      </c>
      <c r="M27" s="2">
        <v>10389.299999999999</v>
      </c>
      <c r="N27" s="2">
        <v>10389.299999999999</v>
      </c>
      <c r="O27" s="2">
        <v>10000</v>
      </c>
    </row>
    <row r="28" spans="1:15" ht="18.600000000000001" thickBot="1">
      <c r="A28" t="s">
        <v>58</v>
      </c>
      <c r="B28">
        <f ca="1"/>
        <v>124.42147264355793</v>
      </c>
      <c r="I28" s="1">
        <v>46204</v>
      </c>
      <c r="J28" s="2" t="s">
        <v>12</v>
      </c>
      <c r="K28" s="2">
        <v>11442.3</v>
      </c>
      <c r="L28" s="2">
        <v>7334.9</v>
      </c>
      <c r="M28" s="2">
        <v>5462.28</v>
      </c>
      <c r="N28" s="2">
        <v>5462.28</v>
      </c>
      <c r="O28" s="2">
        <v>2429.98</v>
      </c>
    </row>
    <row r="29" spans="1:15" ht="18.600000000000001" thickBot="1">
      <c r="A29" t="s">
        <v>59</v>
      </c>
      <c r="B29">
        <f ca="1"/>
        <v>40.966615529628427</v>
      </c>
      <c r="I29" s="1">
        <v>46204</v>
      </c>
      <c r="J29" s="2" t="s">
        <v>13</v>
      </c>
      <c r="K29" s="2">
        <v>17176.43</v>
      </c>
      <c r="L29" s="2">
        <v>18847.97</v>
      </c>
      <c r="M29" s="2">
        <v>7559.47</v>
      </c>
      <c r="N29" s="2">
        <v>7559.47</v>
      </c>
      <c r="O29" s="2">
        <v>4808.58</v>
      </c>
    </row>
    <row r="30" spans="1:15" ht="18.600000000000001" thickBot="1">
      <c r="I30" s="1">
        <v>46235</v>
      </c>
      <c r="J30" s="2" t="s">
        <v>9</v>
      </c>
      <c r="K30" s="2">
        <v>402523.53</v>
      </c>
      <c r="L30" s="2">
        <v>454007.48</v>
      </c>
      <c r="M30" s="2">
        <v>187709.7</v>
      </c>
      <c r="N30" s="2">
        <v>187709.7</v>
      </c>
      <c r="O30" s="2" t="s">
        <v>10</v>
      </c>
    </row>
    <row r="31" spans="1:15" ht="18.600000000000001" thickBot="1">
      <c r="I31" s="1">
        <v>46235</v>
      </c>
      <c r="J31" s="2" t="s">
        <v>11</v>
      </c>
      <c r="K31" s="2">
        <v>26286.400000000001</v>
      </c>
      <c r="L31" s="2">
        <v>30527.9</v>
      </c>
      <c r="M31" s="2">
        <v>12056.4</v>
      </c>
      <c r="N31" s="2">
        <v>12056.4</v>
      </c>
      <c r="O31" s="2">
        <v>10000</v>
      </c>
    </row>
    <row r="32" spans="1:15" ht="18.600000000000001" thickBot="1">
      <c r="I32" s="1">
        <v>46235</v>
      </c>
      <c r="J32" s="2" t="s">
        <v>12</v>
      </c>
      <c r="K32" s="2">
        <v>11921.8</v>
      </c>
      <c r="L32" s="2">
        <v>7174.3</v>
      </c>
      <c r="M32" s="2">
        <v>5206.3999999999996</v>
      </c>
      <c r="N32" s="2">
        <v>5206.3999999999996</v>
      </c>
      <c r="O32" s="2">
        <v>2630.49</v>
      </c>
    </row>
    <row r="33" spans="9:15" ht="18.600000000000001" thickBot="1">
      <c r="I33" s="1">
        <v>46235</v>
      </c>
      <c r="J33" s="2" t="s">
        <v>13</v>
      </c>
      <c r="K33" s="2">
        <v>16771.810000000001</v>
      </c>
      <c r="L33" s="2">
        <v>18916.98</v>
      </c>
      <c r="M33" s="2">
        <v>7821.24</v>
      </c>
      <c r="N33" s="2">
        <v>7821.24</v>
      </c>
      <c r="O33" s="2">
        <v>4709</v>
      </c>
    </row>
    <row r="34" spans="9:15" ht="18.600000000000001" thickBot="1">
      <c r="I34" s="1">
        <v>46266</v>
      </c>
      <c r="J34" s="2" t="s">
        <v>9</v>
      </c>
      <c r="K34" s="2">
        <v>419387.98</v>
      </c>
      <c r="L34" s="2">
        <v>462991.13</v>
      </c>
      <c r="M34" s="2">
        <v>189151.69</v>
      </c>
      <c r="N34" s="2">
        <v>189151.69</v>
      </c>
      <c r="O34" s="2" t="s">
        <v>10</v>
      </c>
    </row>
    <row r="35" spans="9:15" ht="18.600000000000001" thickBot="1">
      <c r="I35" s="1">
        <v>46266</v>
      </c>
      <c r="J35" s="2" t="s">
        <v>11</v>
      </c>
      <c r="K35" s="2">
        <v>29785.8</v>
      </c>
      <c r="L35" s="2">
        <v>32426.6</v>
      </c>
      <c r="M35" s="2">
        <v>11598.1</v>
      </c>
      <c r="N35" s="2">
        <v>11598.1</v>
      </c>
      <c r="O35" s="2">
        <v>10000</v>
      </c>
    </row>
    <row r="36" spans="9:15" ht="18.600000000000001" thickBot="1">
      <c r="I36" s="1">
        <v>46266</v>
      </c>
      <c r="J36" s="2" t="s">
        <v>12</v>
      </c>
      <c r="K36" s="2">
        <v>12018.2</v>
      </c>
      <c r="L36" s="2">
        <v>7239.4</v>
      </c>
      <c r="M36" s="2">
        <v>5371.5</v>
      </c>
      <c r="N36" s="2">
        <v>5371.5</v>
      </c>
      <c r="O36" s="2">
        <v>2549.44</v>
      </c>
    </row>
    <row r="37" spans="9:15" ht="18.600000000000001" thickBot="1">
      <c r="I37" s="1">
        <v>46266</v>
      </c>
      <c r="J37" s="2" t="s">
        <v>13</v>
      </c>
      <c r="K37" s="2">
        <v>17474.5</v>
      </c>
      <c r="L37" s="2">
        <v>19291.3</v>
      </c>
      <c r="M37" s="2">
        <v>7881.32</v>
      </c>
      <c r="N37" s="2">
        <v>7881.32</v>
      </c>
      <c r="O37" s="2">
        <v>4819.9399999999996</v>
      </c>
    </row>
    <row r="38" spans="9:15" ht="18.600000000000001" thickBot="1">
      <c r="I38" s="1">
        <v>46296</v>
      </c>
      <c r="J38" s="2" t="s">
        <v>9</v>
      </c>
      <c r="K38" s="2">
        <v>391909</v>
      </c>
      <c r="L38" s="2">
        <v>469998.73</v>
      </c>
      <c r="M38" s="2">
        <v>184045.82</v>
      </c>
      <c r="N38" s="2">
        <v>184045.82</v>
      </c>
      <c r="O38" s="2" t="s">
        <v>10</v>
      </c>
    </row>
    <row r="39" spans="9:15" ht="18.600000000000001" thickBot="1">
      <c r="I39" s="1">
        <v>46296</v>
      </c>
      <c r="J39" s="2" t="s">
        <v>11</v>
      </c>
      <c r="K39" s="2">
        <v>26158.400000000001</v>
      </c>
      <c r="L39" s="2">
        <v>30971.7</v>
      </c>
      <c r="M39" s="2">
        <v>11176.7</v>
      </c>
      <c r="N39" s="2">
        <v>11176.7</v>
      </c>
      <c r="O39" s="2">
        <v>10000</v>
      </c>
    </row>
    <row r="40" spans="9:15" ht="18.600000000000001" thickBot="1">
      <c r="I40" s="1">
        <v>46296</v>
      </c>
      <c r="J40" s="2" t="s">
        <v>12</v>
      </c>
      <c r="K40" s="2">
        <v>10308.799999999999</v>
      </c>
      <c r="L40" s="2">
        <v>7795.1</v>
      </c>
      <c r="M40" s="2">
        <v>5057.2700000000004</v>
      </c>
      <c r="N40" s="2">
        <v>5057.2700000000004</v>
      </c>
      <c r="O40" s="2">
        <v>2469.75</v>
      </c>
    </row>
    <row r="41" spans="9:15" ht="18.600000000000001" thickBot="1">
      <c r="I41" s="1">
        <v>46296</v>
      </c>
      <c r="J41" s="2" t="s">
        <v>13</v>
      </c>
      <c r="K41" s="2">
        <v>16329.54</v>
      </c>
      <c r="L41" s="2">
        <v>19583.28</v>
      </c>
      <c r="M41" s="2">
        <v>7668.58</v>
      </c>
      <c r="N41" s="2">
        <v>7668.58</v>
      </c>
      <c r="O41" s="2">
        <v>4681</v>
      </c>
    </row>
    <row r="42" spans="9:15" ht="18.600000000000001" thickBot="1">
      <c r="I42" s="1">
        <v>46327</v>
      </c>
      <c r="J42" s="2" t="s">
        <v>9</v>
      </c>
      <c r="K42" s="2">
        <v>332516.59999999998</v>
      </c>
      <c r="L42" s="2">
        <v>562984.13</v>
      </c>
      <c r="M42" s="2">
        <v>194483.22</v>
      </c>
      <c r="N42" s="2">
        <v>194483.22</v>
      </c>
      <c r="O42" s="2" t="s">
        <v>10</v>
      </c>
    </row>
    <row r="43" spans="9:15" ht="18.600000000000001" thickBot="1">
      <c r="I43" s="1">
        <v>46327</v>
      </c>
      <c r="J43" s="2" t="s">
        <v>11</v>
      </c>
      <c r="K43" s="2">
        <v>21576</v>
      </c>
      <c r="L43" s="2">
        <v>34611.5</v>
      </c>
      <c r="M43" s="2">
        <v>10411.700000000001</v>
      </c>
      <c r="N43" s="2">
        <v>10411.700000000001</v>
      </c>
      <c r="O43" s="2">
        <v>4799.04</v>
      </c>
    </row>
    <row r="44" spans="9:15" ht="18.600000000000001" thickBot="1">
      <c r="I44" s="1">
        <v>46327</v>
      </c>
      <c r="J44" s="2" t="s">
        <v>12</v>
      </c>
      <c r="K44" s="2">
        <v>9992.5</v>
      </c>
      <c r="L44" s="2">
        <v>11395.6</v>
      </c>
      <c r="M44" s="2">
        <v>5756.2</v>
      </c>
      <c r="N44" s="2">
        <v>5756.2</v>
      </c>
      <c r="O44" s="2">
        <v>2250.1999999999998</v>
      </c>
    </row>
    <row r="45" spans="9:15" ht="18.600000000000001" thickBot="1">
      <c r="I45" s="1">
        <v>46327</v>
      </c>
      <c r="J45" s="2" t="s">
        <v>13</v>
      </c>
      <c r="K45" s="2">
        <v>13854.86</v>
      </c>
      <c r="L45" s="2">
        <v>23457.67</v>
      </c>
      <c r="M45" s="2">
        <v>8103.47</v>
      </c>
      <c r="N45" s="2">
        <v>8103.47</v>
      </c>
      <c r="O45" s="2">
        <v>3164.87</v>
      </c>
    </row>
    <row r="46" spans="9:15" ht="18.600000000000001" thickBot="1">
      <c r="I46" s="1">
        <v>46357</v>
      </c>
      <c r="J46" s="2" t="s">
        <v>9</v>
      </c>
      <c r="K46" s="2">
        <v>389608.63</v>
      </c>
      <c r="L46" s="2">
        <v>465042.35</v>
      </c>
      <c r="M46" s="2">
        <v>187946.9</v>
      </c>
      <c r="N46" s="2">
        <v>187946.9</v>
      </c>
      <c r="O46" s="2" t="s">
        <v>10</v>
      </c>
    </row>
    <row r="47" spans="9:15" ht="18.600000000000001" thickBot="1">
      <c r="I47" s="1">
        <v>46357</v>
      </c>
      <c r="J47" s="2" t="s">
        <v>11</v>
      </c>
      <c r="K47" s="2">
        <v>28835.7</v>
      </c>
      <c r="L47" s="2">
        <v>31172.9</v>
      </c>
      <c r="M47" s="2">
        <v>12417.7</v>
      </c>
      <c r="N47" s="2">
        <v>12417.7</v>
      </c>
      <c r="O47" s="2">
        <v>10000</v>
      </c>
    </row>
    <row r="48" spans="9:15" ht="18.600000000000001" thickBot="1">
      <c r="I48" s="1">
        <v>46357</v>
      </c>
      <c r="J48" s="2" t="s">
        <v>12</v>
      </c>
      <c r="K48" s="2">
        <v>8836</v>
      </c>
      <c r="L48" s="2">
        <v>6682.4</v>
      </c>
      <c r="M48" s="2">
        <v>4396.3900000000003</v>
      </c>
      <c r="N48" s="2">
        <v>4396.3900000000003</v>
      </c>
      <c r="O48" s="2">
        <v>2380.46</v>
      </c>
    </row>
    <row r="49" spans="9:15" ht="18.600000000000001" thickBot="1">
      <c r="I49" s="1">
        <v>46357</v>
      </c>
      <c r="J49" s="2" t="s">
        <v>13</v>
      </c>
      <c r="K49" s="2">
        <v>16233.69</v>
      </c>
      <c r="L49" s="2">
        <v>19376.759999999998</v>
      </c>
      <c r="M49" s="2">
        <v>7831.12</v>
      </c>
      <c r="N49" s="2">
        <v>7831.12</v>
      </c>
      <c r="O49" s="2">
        <v>4822.04</v>
      </c>
    </row>
    <row r="50" spans="9:15" ht="18.600000000000001" thickBot="1">
      <c r="I50" s="2" t="s">
        <v>14</v>
      </c>
      <c r="J50" s="2" t="s">
        <v>9</v>
      </c>
      <c r="K50" s="2">
        <v>389751.88</v>
      </c>
      <c r="L50" s="2">
        <v>443681.93</v>
      </c>
      <c r="M50" s="2">
        <v>185770.74</v>
      </c>
      <c r="N50" s="2">
        <v>185770.74</v>
      </c>
      <c r="O50" s="2" t="s">
        <v>10</v>
      </c>
    </row>
    <row r="51" spans="9:15" ht="18.600000000000001" thickBot="1">
      <c r="I51" s="2" t="s">
        <v>14</v>
      </c>
      <c r="J51" s="2" t="s">
        <v>11</v>
      </c>
      <c r="K51" s="2">
        <v>30487.5</v>
      </c>
      <c r="L51" s="2">
        <v>31421.3</v>
      </c>
      <c r="M51" s="2">
        <v>12990.19</v>
      </c>
      <c r="N51" s="2">
        <v>12990.19</v>
      </c>
      <c r="O51" s="2">
        <v>10000</v>
      </c>
    </row>
    <row r="52" spans="9:15" ht="18.600000000000001" thickBot="1">
      <c r="I52" s="2" t="s">
        <v>14</v>
      </c>
      <c r="J52" s="2" t="s">
        <v>12</v>
      </c>
      <c r="K52" s="2">
        <v>10468.799999999999</v>
      </c>
      <c r="L52" s="2">
        <v>5508.7</v>
      </c>
      <c r="M52" s="2">
        <v>3847.5</v>
      </c>
      <c r="N52" s="2">
        <v>3847.5</v>
      </c>
      <c r="O52" s="2">
        <v>2469.5300000000002</v>
      </c>
    </row>
    <row r="53" spans="9:15" ht="18.600000000000001" thickBot="1">
      <c r="I53" s="2" t="s">
        <v>14</v>
      </c>
      <c r="J53" s="2" t="s">
        <v>13</v>
      </c>
      <c r="K53" s="2">
        <v>16239.66</v>
      </c>
      <c r="L53" s="2">
        <v>18486.75</v>
      </c>
      <c r="M53" s="2">
        <v>7740.45</v>
      </c>
      <c r="N53" s="2">
        <v>7740.45</v>
      </c>
      <c r="O53" s="2">
        <v>4722.75</v>
      </c>
    </row>
    <row r="54" spans="9:15" ht="18.600000000000001" thickBot="1">
      <c r="I54" s="2" t="s">
        <v>15</v>
      </c>
      <c r="J54" s="2" t="s">
        <v>9</v>
      </c>
      <c r="K54" s="2">
        <v>351547</v>
      </c>
      <c r="L54" s="2">
        <v>538032.38</v>
      </c>
      <c r="M54" s="2">
        <v>200621.89</v>
      </c>
      <c r="N54" s="2">
        <v>200621.89</v>
      </c>
      <c r="O54" s="2" t="s">
        <v>10</v>
      </c>
    </row>
    <row r="55" spans="9:15" ht="18.600000000000001" thickBot="1">
      <c r="I55" s="2" t="s">
        <v>15</v>
      </c>
      <c r="J55" s="2" t="s">
        <v>11</v>
      </c>
      <c r="K55" s="2">
        <v>24419.599999999999</v>
      </c>
      <c r="L55" s="2">
        <v>37062.1</v>
      </c>
      <c r="M55" s="2">
        <v>11166.5</v>
      </c>
      <c r="N55" s="2">
        <v>11166.5</v>
      </c>
      <c r="O55" s="2">
        <v>10000</v>
      </c>
    </row>
    <row r="56" spans="9:15" ht="18.600000000000001" thickBot="1">
      <c r="I56" s="2" t="s">
        <v>15</v>
      </c>
      <c r="J56" s="2" t="s">
        <v>12</v>
      </c>
      <c r="K56" s="2">
        <v>9198.2000000000007</v>
      </c>
      <c r="L56" s="2">
        <v>9556.2999999999993</v>
      </c>
      <c r="M56" s="2">
        <v>5706.59</v>
      </c>
      <c r="N56" s="2">
        <v>5706.59</v>
      </c>
      <c r="O56" s="2">
        <v>2469.9899999999998</v>
      </c>
    </row>
    <row r="57" spans="9:15" ht="18.600000000000001" thickBot="1">
      <c r="I57" s="2" t="s">
        <v>15</v>
      </c>
      <c r="J57" s="2" t="s">
        <v>13</v>
      </c>
      <c r="K57" s="2">
        <v>14647.79</v>
      </c>
      <c r="L57" s="2">
        <v>22418.02</v>
      </c>
      <c r="M57" s="2">
        <v>8359.25</v>
      </c>
      <c r="N57" s="2">
        <v>8359.25</v>
      </c>
      <c r="O57" s="2">
        <v>4271.9799999999996</v>
      </c>
    </row>
    <row r="58" spans="9:15" ht="18.600000000000001" thickBot="1">
      <c r="I58" s="2" t="s">
        <v>16</v>
      </c>
      <c r="J58" s="2" t="s">
        <v>9</v>
      </c>
      <c r="K58" s="2">
        <v>353297.1</v>
      </c>
      <c r="L58" s="2">
        <v>597052.19999999995</v>
      </c>
      <c r="M58" s="2">
        <v>229233.49</v>
      </c>
      <c r="N58" s="2">
        <v>229233.49</v>
      </c>
      <c r="O58" s="2" t="s">
        <v>10</v>
      </c>
    </row>
    <row r="59" spans="9:15" ht="18.600000000000001" thickBot="1">
      <c r="I59" s="2" t="s">
        <v>16</v>
      </c>
      <c r="J59" s="2" t="s">
        <v>11</v>
      </c>
      <c r="K59" s="2">
        <v>23747.200000000001</v>
      </c>
      <c r="L59" s="2">
        <v>38534.199999999997</v>
      </c>
      <c r="M59" s="2">
        <v>13716.19</v>
      </c>
      <c r="N59" s="2">
        <v>13716.19</v>
      </c>
      <c r="O59" s="2">
        <v>10000</v>
      </c>
    </row>
    <row r="60" spans="9:15" ht="18.600000000000001" thickBot="1">
      <c r="I60" s="2" t="s">
        <v>16</v>
      </c>
      <c r="J60" s="2" t="s">
        <v>12</v>
      </c>
      <c r="K60" s="2">
        <v>10179.799999999999</v>
      </c>
      <c r="L60" s="2">
        <v>13606.1</v>
      </c>
      <c r="M60" s="2">
        <v>6212.63</v>
      </c>
      <c r="N60" s="2">
        <v>6212.63</v>
      </c>
      <c r="O60" s="2">
        <v>2296.67</v>
      </c>
    </row>
    <row r="61" spans="9:15" ht="18.600000000000001" thickBot="1">
      <c r="I61" s="2" t="s">
        <v>16</v>
      </c>
      <c r="J61" s="2" t="s">
        <v>13</v>
      </c>
      <c r="K61" s="2">
        <v>14720.71</v>
      </c>
      <c r="L61" s="2">
        <v>24877.18</v>
      </c>
      <c r="M61" s="2">
        <v>9551.4</v>
      </c>
      <c r="N61" s="2">
        <v>9551.4</v>
      </c>
      <c r="O61" s="2">
        <v>4014.34</v>
      </c>
    </row>
    <row r="62" spans="9:15" ht="18.600000000000001" thickBot="1">
      <c r="I62" s="2" t="s">
        <v>17</v>
      </c>
      <c r="J62" s="2" t="s">
        <v>9</v>
      </c>
      <c r="K62" s="2">
        <v>380308.2</v>
      </c>
      <c r="L62" s="2">
        <v>574894.6</v>
      </c>
      <c r="M62" s="2">
        <v>215748.86</v>
      </c>
      <c r="N62" s="2">
        <v>215748.86</v>
      </c>
      <c r="O62" s="2" t="s">
        <v>10</v>
      </c>
    </row>
    <row r="63" spans="9:15" ht="18.600000000000001" thickBot="1">
      <c r="I63" s="2" t="s">
        <v>17</v>
      </c>
      <c r="J63" s="2" t="s">
        <v>11</v>
      </c>
      <c r="K63" s="2">
        <v>24164</v>
      </c>
      <c r="L63" s="2">
        <v>39491.1</v>
      </c>
      <c r="M63" s="2">
        <v>11723.7</v>
      </c>
      <c r="N63" s="2">
        <v>11723.7</v>
      </c>
      <c r="O63" s="2">
        <v>10000</v>
      </c>
    </row>
    <row r="64" spans="9:15" ht="18.600000000000001" thickBot="1">
      <c r="I64" s="2" t="s">
        <v>17</v>
      </c>
      <c r="J64" s="2" t="s">
        <v>12</v>
      </c>
      <c r="K64" s="2">
        <v>10854.8</v>
      </c>
      <c r="L64" s="2">
        <v>11106.2</v>
      </c>
      <c r="M64" s="2">
        <v>5869.7</v>
      </c>
      <c r="N64" s="2">
        <v>5869.7</v>
      </c>
      <c r="O64" s="2">
        <v>2000.55</v>
      </c>
    </row>
    <row r="65" spans="9:15" ht="18.600000000000001" thickBot="1">
      <c r="I65" s="2" t="s">
        <v>17</v>
      </c>
      <c r="J65" s="2" t="s">
        <v>13</v>
      </c>
      <c r="K65" s="2">
        <v>15846.18</v>
      </c>
      <c r="L65" s="2">
        <v>23953.94</v>
      </c>
      <c r="M65" s="2">
        <v>8989.5400000000009</v>
      </c>
      <c r="N65" s="2">
        <v>8989.5400000000009</v>
      </c>
      <c r="O65" s="2">
        <v>4077.08</v>
      </c>
    </row>
    <row r="66" spans="9:15" ht="18.600000000000001" thickBot="1">
      <c r="I66" s="2" t="s">
        <v>18</v>
      </c>
      <c r="J66" s="2" t="s">
        <v>9</v>
      </c>
      <c r="K66" s="2">
        <v>364328.55</v>
      </c>
      <c r="L66" s="2">
        <v>586844.38</v>
      </c>
      <c r="M66" s="2">
        <v>216221.7</v>
      </c>
      <c r="N66" s="2">
        <v>216221.7</v>
      </c>
      <c r="O66" s="2" t="s">
        <v>10</v>
      </c>
    </row>
    <row r="67" spans="9:15" ht="18.600000000000001" thickBot="1">
      <c r="I67" s="2" t="s">
        <v>18</v>
      </c>
      <c r="J67" s="2" t="s">
        <v>11</v>
      </c>
      <c r="K67" s="2">
        <v>24042.5</v>
      </c>
      <c r="L67" s="2">
        <v>41825.599999999999</v>
      </c>
      <c r="M67" s="2">
        <v>12621.8</v>
      </c>
      <c r="N67" s="2">
        <v>12621.8</v>
      </c>
      <c r="O67" s="2">
        <v>10000</v>
      </c>
    </row>
    <row r="68" spans="9:15" ht="18.600000000000001" thickBot="1">
      <c r="I68" s="2" t="s">
        <v>18</v>
      </c>
      <c r="J68" s="2" t="s">
        <v>12</v>
      </c>
      <c r="K68" s="2">
        <v>10780.9</v>
      </c>
      <c r="L68" s="2">
        <v>12432.5</v>
      </c>
      <c r="M68" s="2">
        <v>5663.5</v>
      </c>
      <c r="N68" s="2">
        <v>5663.5</v>
      </c>
      <c r="O68" s="2">
        <v>1760.8</v>
      </c>
    </row>
    <row r="69" spans="9:15" ht="18.600000000000001" thickBot="1">
      <c r="I69" s="2" t="s">
        <v>18</v>
      </c>
      <c r="J69" s="2" t="s">
        <v>13</v>
      </c>
      <c r="K69" s="2">
        <v>15180.36</v>
      </c>
      <c r="L69" s="2">
        <v>24451.85</v>
      </c>
      <c r="M69" s="2">
        <v>9009.24</v>
      </c>
      <c r="N69" s="2">
        <v>9009.24</v>
      </c>
      <c r="O69" s="2">
        <v>3546.31</v>
      </c>
    </row>
    <row r="70" spans="9:15" ht="18.600000000000001" thickBot="1">
      <c r="I70" s="2" t="s">
        <v>19</v>
      </c>
      <c r="J70" s="2" t="s">
        <v>9</v>
      </c>
      <c r="K70" s="2">
        <v>314008.3</v>
      </c>
      <c r="L70" s="2">
        <v>616559.23</v>
      </c>
      <c r="M70" s="2">
        <v>195383.29</v>
      </c>
      <c r="N70" s="2">
        <v>195383.29</v>
      </c>
      <c r="O70" s="2" t="s">
        <v>10</v>
      </c>
    </row>
    <row r="71" spans="9:15" ht="18.600000000000001" thickBot="1">
      <c r="I71" s="2" t="s">
        <v>19</v>
      </c>
      <c r="J71" s="2" t="s">
        <v>11</v>
      </c>
      <c r="K71" s="2">
        <v>20370.3</v>
      </c>
      <c r="L71" s="2">
        <v>42271.3</v>
      </c>
      <c r="M71" s="2">
        <v>10849.6</v>
      </c>
      <c r="N71" s="2">
        <v>10849.6</v>
      </c>
      <c r="O71" s="2">
        <v>4881.16</v>
      </c>
    </row>
    <row r="72" spans="9:15" ht="18.600000000000001" thickBot="1">
      <c r="I72" s="2" t="s">
        <v>19</v>
      </c>
      <c r="J72" s="2" t="s">
        <v>12</v>
      </c>
      <c r="K72" s="2">
        <v>10075</v>
      </c>
      <c r="L72" s="2">
        <v>14167.6</v>
      </c>
      <c r="M72" s="2">
        <v>5615.2</v>
      </c>
      <c r="N72" s="2">
        <v>5615.2</v>
      </c>
      <c r="O72" s="2">
        <v>1783.8</v>
      </c>
    </row>
    <row r="73" spans="9:15" ht="18.600000000000001" thickBot="1">
      <c r="I73" s="2" t="s">
        <v>19</v>
      </c>
      <c r="J73" s="2" t="s">
        <v>13</v>
      </c>
      <c r="K73" s="2">
        <v>13083.68</v>
      </c>
      <c r="L73" s="2">
        <v>25689.97</v>
      </c>
      <c r="M73" s="2">
        <v>8140.97</v>
      </c>
      <c r="N73" s="2">
        <v>8140.97</v>
      </c>
      <c r="O73" s="2">
        <v>2908.16</v>
      </c>
    </row>
    <row r="74" spans="9:15" ht="18.600000000000001" thickBot="1">
      <c r="I74" s="2" t="s">
        <v>20</v>
      </c>
      <c r="J74" s="2" t="s">
        <v>9</v>
      </c>
      <c r="K74" s="2">
        <v>372790.83</v>
      </c>
      <c r="L74" s="2">
        <v>579823.43000000005</v>
      </c>
      <c r="M74" s="2">
        <v>217555.6</v>
      </c>
      <c r="N74" s="2">
        <v>217555.6</v>
      </c>
      <c r="O74" s="2" t="s">
        <v>10</v>
      </c>
    </row>
    <row r="75" spans="9:15" ht="18.600000000000001" thickBot="1">
      <c r="I75" s="2" t="s">
        <v>20</v>
      </c>
      <c r="J75" s="2" t="s">
        <v>11</v>
      </c>
      <c r="K75" s="2">
        <v>23472.6</v>
      </c>
      <c r="L75" s="2">
        <v>39528.699999999997</v>
      </c>
      <c r="M75" s="2">
        <v>11799.6</v>
      </c>
      <c r="N75" s="2">
        <v>11799.6</v>
      </c>
      <c r="O75" s="2">
        <v>10000</v>
      </c>
    </row>
    <row r="76" spans="9:15" ht="18.600000000000001" thickBot="1">
      <c r="I76" s="2" t="s">
        <v>20</v>
      </c>
      <c r="J76" s="2" t="s">
        <v>12</v>
      </c>
      <c r="K76" s="2">
        <v>10100.1</v>
      </c>
      <c r="L76" s="2">
        <v>9959.2000000000007</v>
      </c>
      <c r="M76" s="2">
        <v>6341.96</v>
      </c>
      <c r="N76" s="2">
        <v>6341.96</v>
      </c>
      <c r="O76" s="2">
        <v>1999.27</v>
      </c>
    </row>
    <row r="77" spans="9:15" ht="18.600000000000001" thickBot="1">
      <c r="I77" s="2" t="s">
        <v>20</v>
      </c>
      <c r="J77" s="2" t="s">
        <v>13</v>
      </c>
      <c r="K77" s="2">
        <v>15532.95</v>
      </c>
      <c r="L77" s="2">
        <v>24159.31</v>
      </c>
      <c r="M77" s="2">
        <v>9064.82</v>
      </c>
      <c r="N77" s="2">
        <v>9064.82</v>
      </c>
      <c r="O77" s="2">
        <v>3888.74</v>
      </c>
    </row>
    <row r="78" spans="9:15" ht="18.600000000000001" thickBot="1">
      <c r="I78" s="2" t="s">
        <v>21</v>
      </c>
      <c r="J78" s="2" t="s">
        <v>9</v>
      </c>
      <c r="K78" s="2">
        <v>380185.63</v>
      </c>
      <c r="L78" s="2">
        <v>532185.13</v>
      </c>
      <c r="M78" s="2">
        <v>199707.87</v>
      </c>
      <c r="N78" s="2">
        <v>199707.87</v>
      </c>
      <c r="O78" s="2" t="s">
        <v>10</v>
      </c>
    </row>
    <row r="79" spans="9:15" ht="18.600000000000001" thickBot="1">
      <c r="I79" s="2" t="s">
        <v>21</v>
      </c>
      <c r="J79" s="2" t="s">
        <v>11</v>
      </c>
      <c r="K79" s="2">
        <v>25858.1</v>
      </c>
      <c r="L79" s="2">
        <v>39763.199999999997</v>
      </c>
      <c r="M79" s="2">
        <v>11930.1</v>
      </c>
      <c r="N79" s="2">
        <v>11930.1</v>
      </c>
      <c r="O79" s="2">
        <v>10000</v>
      </c>
    </row>
    <row r="80" spans="9:15" ht="18.600000000000001" thickBot="1">
      <c r="I80" s="2" t="s">
        <v>21</v>
      </c>
      <c r="J80" s="2" t="s">
        <v>12</v>
      </c>
      <c r="K80" s="2">
        <v>10738.5</v>
      </c>
      <c r="L80" s="2">
        <v>9346.1</v>
      </c>
      <c r="M80" s="2">
        <v>5604.8</v>
      </c>
      <c r="N80" s="2">
        <v>5604.8</v>
      </c>
      <c r="O80" s="2">
        <v>2020.35</v>
      </c>
    </row>
    <row r="81" spans="9:15" ht="18.600000000000001" thickBot="1">
      <c r="I81" s="2" t="s">
        <v>21</v>
      </c>
      <c r="J81" s="2" t="s">
        <v>13</v>
      </c>
      <c r="K81" s="2">
        <v>15841.07</v>
      </c>
      <c r="L81" s="2">
        <v>22174.38</v>
      </c>
      <c r="M81" s="2">
        <v>8321.16</v>
      </c>
      <c r="N81" s="2">
        <v>8321.16</v>
      </c>
      <c r="O81" s="2">
        <v>4144.09</v>
      </c>
    </row>
    <row r="82" spans="9:15" ht="18.600000000000001" thickBot="1">
      <c r="I82" s="2" t="s">
        <v>22</v>
      </c>
      <c r="J82" s="2" t="s">
        <v>9</v>
      </c>
      <c r="K82" s="2">
        <v>389195.05</v>
      </c>
      <c r="L82" s="2">
        <v>529748.73</v>
      </c>
      <c r="M82" s="2">
        <v>203811.07</v>
      </c>
      <c r="N82" s="2">
        <v>203811.07</v>
      </c>
      <c r="O82" s="2" t="s">
        <v>10</v>
      </c>
    </row>
    <row r="83" spans="9:15" ht="18.600000000000001" thickBot="1">
      <c r="I83" s="2" t="s">
        <v>22</v>
      </c>
      <c r="J83" s="2" t="s">
        <v>11</v>
      </c>
      <c r="K83" s="2">
        <v>27933.200000000001</v>
      </c>
      <c r="L83" s="2">
        <v>40457.4</v>
      </c>
      <c r="M83" s="2">
        <v>11503.59</v>
      </c>
      <c r="N83" s="2">
        <v>11503.59</v>
      </c>
      <c r="O83" s="2">
        <v>10000</v>
      </c>
    </row>
    <row r="84" spans="9:15" ht="18.600000000000001" thickBot="1">
      <c r="I84" s="2" t="s">
        <v>22</v>
      </c>
      <c r="J84" s="2" t="s">
        <v>12</v>
      </c>
      <c r="K84" s="2">
        <v>10784.7</v>
      </c>
      <c r="L84" s="2">
        <v>8599.2999999999993</v>
      </c>
      <c r="M84" s="2">
        <v>6020.91</v>
      </c>
      <c r="N84" s="2">
        <v>6020.91</v>
      </c>
      <c r="O84" s="2">
        <v>1998.75</v>
      </c>
    </row>
    <row r="85" spans="9:15" ht="18.600000000000001" thickBot="1">
      <c r="I85" s="2" t="s">
        <v>22</v>
      </c>
      <c r="J85" s="2" t="s">
        <v>13</v>
      </c>
      <c r="K85" s="2">
        <v>16216.46</v>
      </c>
      <c r="L85" s="2">
        <v>22072.86</v>
      </c>
      <c r="M85" s="2">
        <v>8492.1299999999992</v>
      </c>
      <c r="N85" s="2">
        <v>8492.1299999999992</v>
      </c>
      <c r="O85" s="2">
        <v>4327.87</v>
      </c>
    </row>
    <row r="86" spans="9:15" ht="18.600000000000001" thickBot="1">
      <c r="I86" s="2" t="s">
        <v>23</v>
      </c>
      <c r="J86" s="2" t="s">
        <v>9</v>
      </c>
      <c r="K86" s="2">
        <v>341799.35</v>
      </c>
      <c r="L86" s="2">
        <v>552132.5</v>
      </c>
      <c r="M86" s="2">
        <v>193898.11</v>
      </c>
      <c r="N86" s="2">
        <v>193898.11</v>
      </c>
      <c r="O86" s="2" t="s">
        <v>10</v>
      </c>
    </row>
    <row r="87" spans="9:15" ht="18.600000000000001" thickBot="1">
      <c r="I87" s="2" t="s">
        <v>23</v>
      </c>
      <c r="J87" s="2" t="s">
        <v>11</v>
      </c>
      <c r="K87" s="2">
        <v>27298.799999999999</v>
      </c>
      <c r="L87" s="2">
        <v>40736.699999999997</v>
      </c>
      <c r="M87" s="2">
        <v>11586.6</v>
      </c>
      <c r="N87" s="2">
        <v>11586.6</v>
      </c>
      <c r="O87" s="2">
        <v>10000</v>
      </c>
    </row>
    <row r="88" spans="9:15" ht="18.600000000000001" thickBot="1">
      <c r="I88" s="2" t="s">
        <v>23</v>
      </c>
      <c r="J88" s="2" t="s">
        <v>12</v>
      </c>
      <c r="K88" s="2">
        <v>9209</v>
      </c>
      <c r="L88" s="2">
        <v>8835</v>
      </c>
      <c r="M88" s="2">
        <v>5062.2</v>
      </c>
      <c r="N88" s="2">
        <v>5062.2</v>
      </c>
      <c r="O88" s="2">
        <v>1950.9</v>
      </c>
    </row>
    <row r="89" spans="9:15" ht="18.600000000000001" thickBot="1">
      <c r="I89" s="2" t="s">
        <v>23</v>
      </c>
      <c r="J89" s="2" t="s">
        <v>13</v>
      </c>
      <c r="K89" s="2">
        <v>14241.64</v>
      </c>
      <c r="L89" s="2">
        <v>23005.52</v>
      </c>
      <c r="M89" s="2">
        <v>8079.09</v>
      </c>
      <c r="N89" s="2">
        <v>8079.09</v>
      </c>
      <c r="O89" s="2">
        <v>3964.03</v>
      </c>
    </row>
    <row r="90" spans="9:15" ht="18.600000000000001" thickBot="1">
      <c r="I90" s="2" t="s">
        <v>24</v>
      </c>
      <c r="J90" s="2" t="s">
        <v>9</v>
      </c>
      <c r="K90" s="2">
        <v>349395.08</v>
      </c>
      <c r="L90" s="2">
        <v>600289.13</v>
      </c>
      <c r="M90" s="2">
        <v>207139.37</v>
      </c>
      <c r="N90" s="2">
        <v>207139.37</v>
      </c>
      <c r="O90" s="2" t="s">
        <v>10</v>
      </c>
    </row>
    <row r="91" spans="9:15" ht="18.600000000000001" thickBot="1">
      <c r="I91" s="2" t="s">
        <v>24</v>
      </c>
      <c r="J91" s="2" t="s">
        <v>11</v>
      </c>
      <c r="K91" s="2">
        <v>23908.6</v>
      </c>
      <c r="L91" s="2">
        <v>41717.9</v>
      </c>
      <c r="M91" s="2">
        <v>12683.1</v>
      </c>
      <c r="N91" s="2">
        <v>12683.1</v>
      </c>
      <c r="O91" s="2">
        <v>10000</v>
      </c>
    </row>
    <row r="92" spans="9:15" ht="18.600000000000001" thickBot="1">
      <c r="I92" s="2" t="s">
        <v>24</v>
      </c>
      <c r="J92" s="2" t="s">
        <v>12</v>
      </c>
      <c r="K92" s="2">
        <v>10063.1</v>
      </c>
      <c r="L92" s="2">
        <v>8028.8</v>
      </c>
      <c r="M92" s="2">
        <v>5787.9</v>
      </c>
      <c r="N92" s="2">
        <v>5787.9</v>
      </c>
      <c r="O92" s="2">
        <v>1801</v>
      </c>
    </row>
    <row r="93" spans="9:15" ht="18.600000000000001" thickBot="1">
      <c r="I93" s="2" t="s">
        <v>24</v>
      </c>
      <c r="J93" s="2" t="s">
        <v>13</v>
      </c>
      <c r="K93" s="2">
        <v>14558.13</v>
      </c>
      <c r="L93" s="2">
        <v>25012.05</v>
      </c>
      <c r="M93" s="2">
        <v>8630.81</v>
      </c>
      <c r="N93" s="2">
        <v>8630.81</v>
      </c>
      <c r="O93" s="2">
        <v>3806.96</v>
      </c>
    </row>
    <row r="94" spans="9:15" ht="18.600000000000001" thickBot="1">
      <c r="I94" s="2" t="s">
        <v>25</v>
      </c>
      <c r="J94" s="2" t="s">
        <v>9</v>
      </c>
      <c r="K94" s="2">
        <v>324883.13</v>
      </c>
      <c r="L94" s="2">
        <v>583591.03</v>
      </c>
      <c r="M94" s="2">
        <v>203680.1</v>
      </c>
      <c r="N94" s="2">
        <v>203680.1</v>
      </c>
      <c r="O94" s="2" t="s">
        <v>10</v>
      </c>
    </row>
    <row r="95" spans="9:15" ht="18.600000000000001" thickBot="1">
      <c r="I95" s="2" t="s">
        <v>25</v>
      </c>
      <c r="J95" s="2" t="s">
        <v>11</v>
      </c>
      <c r="K95" s="2">
        <v>21209.9</v>
      </c>
      <c r="L95" s="2">
        <v>41399.199999999997</v>
      </c>
      <c r="M95" s="2">
        <v>11948.9</v>
      </c>
      <c r="N95" s="2">
        <v>11948.9</v>
      </c>
      <c r="O95" s="2">
        <v>6999.36</v>
      </c>
    </row>
    <row r="96" spans="9:15" ht="18.600000000000001" thickBot="1">
      <c r="I96" s="2" t="s">
        <v>25</v>
      </c>
      <c r="J96" s="2" t="s">
        <v>12</v>
      </c>
      <c r="K96" s="2">
        <v>9527.2000000000007</v>
      </c>
      <c r="L96" s="2">
        <v>8747.4</v>
      </c>
      <c r="M96" s="2">
        <v>5649.41</v>
      </c>
      <c r="N96" s="2">
        <v>5649.41</v>
      </c>
      <c r="O96" s="2">
        <v>1804.79</v>
      </c>
    </row>
    <row r="97" spans="9:15" ht="18.600000000000001" thickBot="1">
      <c r="I97" s="2" t="s">
        <v>25</v>
      </c>
      <c r="J97" s="2" t="s">
        <v>13</v>
      </c>
      <c r="K97" s="2">
        <v>13536.8</v>
      </c>
      <c r="L97" s="2">
        <v>24316.29</v>
      </c>
      <c r="M97" s="2">
        <v>8486.67</v>
      </c>
      <c r="N97" s="2">
        <v>8486.67</v>
      </c>
      <c r="O97" s="2">
        <v>3000.4</v>
      </c>
    </row>
    <row r="98" spans="9:15" ht="18.600000000000001" thickBot="1">
      <c r="I98" s="2" t="s">
        <v>26</v>
      </c>
      <c r="J98" s="2" t="s">
        <v>9</v>
      </c>
      <c r="K98" s="2">
        <v>289178.45</v>
      </c>
      <c r="L98" s="2">
        <v>712993.73</v>
      </c>
      <c r="M98" s="2">
        <v>197158.89</v>
      </c>
      <c r="N98" s="2">
        <v>197158.89</v>
      </c>
      <c r="O98" s="2" t="s">
        <v>10</v>
      </c>
    </row>
    <row r="99" spans="9:15" ht="18.600000000000001" thickBot="1">
      <c r="I99" s="2" t="s">
        <v>26</v>
      </c>
      <c r="J99" s="2" t="s">
        <v>11</v>
      </c>
      <c r="K99" s="2">
        <v>17115.099999999999</v>
      </c>
      <c r="L99" s="2">
        <v>48085.1</v>
      </c>
      <c r="M99" s="2">
        <v>10791</v>
      </c>
      <c r="N99" s="2">
        <v>10791</v>
      </c>
      <c r="O99" s="2">
        <v>4129.57</v>
      </c>
    </row>
    <row r="100" spans="9:15" ht="18.600000000000001" thickBot="1">
      <c r="I100" s="2" t="s">
        <v>26</v>
      </c>
      <c r="J100" s="2" t="s">
        <v>12</v>
      </c>
      <c r="K100" s="2">
        <v>8267.2999999999993</v>
      </c>
      <c r="L100" s="2">
        <v>16869</v>
      </c>
      <c r="M100" s="2">
        <v>5773.2</v>
      </c>
      <c r="N100" s="2">
        <v>5773.2</v>
      </c>
      <c r="O100" s="2">
        <v>1529.55</v>
      </c>
    </row>
    <row r="101" spans="9:15" ht="18.600000000000001" thickBot="1">
      <c r="I101" s="2" t="s">
        <v>26</v>
      </c>
      <c r="J101" s="2" t="s">
        <v>13</v>
      </c>
      <c r="K101" s="2">
        <v>12049.1</v>
      </c>
      <c r="L101" s="2">
        <v>29708.07</v>
      </c>
      <c r="M101" s="2">
        <v>8214.9500000000007</v>
      </c>
      <c r="N101" s="2">
        <v>8214.9500000000007</v>
      </c>
      <c r="O101" s="2">
        <v>2406.85</v>
      </c>
    </row>
    <row r="102" spans="9:15" ht="18.600000000000001" thickBot="1">
      <c r="I102" s="2" t="s">
        <v>27</v>
      </c>
      <c r="J102" s="2" t="s">
        <v>9</v>
      </c>
      <c r="K102" s="2">
        <v>288368.40000000002</v>
      </c>
      <c r="L102" s="2">
        <v>628370.18000000005</v>
      </c>
      <c r="M102" s="2">
        <v>192013.23</v>
      </c>
      <c r="N102" s="2">
        <v>192013.23</v>
      </c>
      <c r="O102" s="2" t="s">
        <v>10</v>
      </c>
    </row>
    <row r="103" spans="9:15" ht="18.600000000000001" thickBot="1">
      <c r="I103" s="2" t="s">
        <v>27</v>
      </c>
      <c r="J103" s="2" t="s">
        <v>11</v>
      </c>
      <c r="K103" s="2">
        <v>19270.599999999999</v>
      </c>
      <c r="L103" s="2">
        <v>40382.800000000003</v>
      </c>
      <c r="M103" s="2">
        <v>10503.2</v>
      </c>
      <c r="N103" s="2">
        <v>10503.2</v>
      </c>
      <c r="O103" s="2">
        <v>5023.9799999999996</v>
      </c>
    </row>
    <row r="104" spans="9:15" ht="18.600000000000001" thickBot="1">
      <c r="I104" s="2" t="s">
        <v>27</v>
      </c>
      <c r="J104" s="2" t="s">
        <v>12</v>
      </c>
      <c r="K104" s="2">
        <v>8220.7000000000007</v>
      </c>
      <c r="L104" s="2">
        <v>14121.5</v>
      </c>
      <c r="M104" s="2">
        <v>5516.6</v>
      </c>
      <c r="N104" s="2">
        <v>5516.6</v>
      </c>
      <c r="O104" s="2">
        <v>1433.81</v>
      </c>
    </row>
    <row r="105" spans="9:15" ht="18.600000000000001" thickBot="1">
      <c r="I105" s="2" t="s">
        <v>27</v>
      </c>
      <c r="J105" s="2" t="s">
        <v>13</v>
      </c>
      <c r="K105" s="2">
        <v>12015.35</v>
      </c>
      <c r="L105" s="2">
        <v>26182.09</v>
      </c>
      <c r="M105" s="2">
        <v>8000.55</v>
      </c>
      <c r="N105" s="2">
        <v>8000.55</v>
      </c>
      <c r="O105" s="2">
        <v>2624.47</v>
      </c>
    </row>
    <row r="106" spans="9:15" ht="18.600000000000001" thickBot="1">
      <c r="I106" s="2" t="s">
        <v>28</v>
      </c>
      <c r="J106" s="2" t="s">
        <v>9</v>
      </c>
      <c r="K106" s="2">
        <v>336769.5</v>
      </c>
      <c r="L106" s="2">
        <v>652899.32999999996</v>
      </c>
      <c r="M106" s="2">
        <v>213612.69</v>
      </c>
      <c r="N106" s="2">
        <v>213612.69</v>
      </c>
      <c r="O106" s="2" t="s">
        <v>10</v>
      </c>
    </row>
    <row r="107" spans="9:15" ht="18.600000000000001" thickBot="1">
      <c r="I107" s="2" t="s">
        <v>28</v>
      </c>
      <c r="J107" s="2" t="s">
        <v>11</v>
      </c>
      <c r="K107" s="2">
        <v>23387</v>
      </c>
      <c r="L107" s="2">
        <v>44966.7</v>
      </c>
      <c r="M107" s="2">
        <v>12409.7</v>
      </c>
      <c r="N107" s="2">
        <v>12409.7</v>
      </c>
      <c r="O107" s="2">
        <v>10000</v>
      </c>
    </row>
    <row r="108" spans="9:15" ht="18.600000000000001" thickBot="1">
      <c r="I108" s="2" t="s">
        <v>28</v>
      </c>
      <c r="J108" s="2" t="s">
        <v>12</v>
      </c>
      <c r="K108" s="2">
        <v>9509.1</v>
      </c>
      <c r="L108" s="2">
        <v>10601.3</v>
      </c>
      <c r="M108" s="2">
        <v>5690.4</v>
      </c>
      <c r="N108" s="2">
        <v>5690.4</v>
      </c>
      <c r="O108" s="2">
        <v>1724.93</v>
      </c>
    </row>
    <row r="109" spans="9:15" ht="18.600000000000001" thickBot="1">
      <c r="I109" s="2" t="s">
        <v>28</v>
      </c>
      <c r="J109" s="2" t="s">
        <v>13</v>
      </c>
      <c r="K109" s="2">
        <v>14032.06</v>
      </c>
      <c r="L109" s="2">
        <v>27204.14</v>
      </c>
      <c r="M109" s="2">
        <v>8900.5300000000007</v>
      </c>
      <c r="N109" s="2">
        <v>8900.5300000000007</v>
      </c>
      <c r="O109" s="2">
        <v>3232.41</v>
      </c>
    </row>
    <row r="110" spans="9:15" ht="18.600000000000001" thickBot="1">
      <c r="I110" s="2" t="s">
        <v>29</v>
      </c>
      <c r="J110" s="2" t="s">
        <v>9</v>
      </c>
      <c r="K110" s="2">
        <v>347407.5</v>
      </c>
      <c r="L110" s="2">
        <v>672415.93</v>
      </c>
      <c r="M110" s="2">
        <v>227492.23</v>
      </c>
      <c r="N110" s="2">
        <v>227492.23</v>
      </c>
      <c r="O110" s="2" t="s">
        <v>10</v>
      </c>
    </row>
    <row r="111" spans="9:15" ht="18.600000000000001" thickBot="1">
      <c r="I111" s="2" t="s">
        <v>29</v>
      </c>
      <c r="J111" s="2" t="s">
        <v>11</v>
      </c>
      <c r="K111" s="2">
        <v>23157.4</v>
      </c>
      <c r="L111" s="2">
        <v>45610.5</v>
      </c>
      <c r="M111" s="2">
        <v>13128.6</v>
      </c>
      <c r="N111" s="2">
        <v>13128.6</v>
      </c>
      <c r="O111" s="2">
        <v>10000</v>
      </c>
    </row>
    <row r="112" spans="9:15" ht="18.600000000000001" thickBot="1">
      <c r="I112" s="2" t="s">
        <v>29</v>
      </c>
      <c r="J112" s="2" t="s">
        <v>12</v>
      </c>
      <c r="K112" s="2">
        <v>10144.5</v>
      </c>
      <c r="L112" s="2">
        <v>11480</v>
      </c>
      <c r="M112" s="2">
        <v>6390.5</v>
      </c>
      <c r="N112" s="2">
        <v>6390.5</v>
      </c>
      <c r="O112" s="2">
        <v>1800.24</v>
      </c>
    </row>
    <row r="113" spans="9:15" ht="18.600000000000001" thickBot="1">
      <c r="I113" s="2" t="s">
        <v>29</v>
      </c>
      <c r="J113" s="2" t="s">
        <v>13</v>
      </c>
      <c r="K113" s="2">
        <v>14475.31</v>
      </c>
      <c r="L113" s="2">
        <v>28017.33</v>
      </c>
      <c r="M113" s="2">
        <v>9478.84</v>
      </c>
      <c r="N113" s="2">
        <v>9478.84</v>
      </c>
      <c r="O113" s="2">
        <v>3217.01</v>
      </c>
    </row>
    <row r="114" spans="9:15" ht="18.600000000000001" thickBot="1">
      <c r="I114" s="2" t="s">
        <v>30</v>
      </c>
      <c r="J114" s="2" t="s">
        <v>9</v>
      </c>
      <c r="K114" s="2">
        <v>376986.98</v>
      </c>
      <c r="L114" s="2">
        <v>651763.68000000005</v>
      </c>
      <c r="M114" s="2">
        <v>228224.2</v>
      </c>
      <c r="N114" s="2">
        <v>228224.2</v>
      </c>
      <c r="O114" s="2" t="s">
        <v>10</v>
      </c>
    </row>
    <row r="115" spans="9:15" ht="18.600000000000001" thickBot="1">
      <c r="I115" s="2" t="s">
        <v>30</v>
      </c>
      <c r="J115" s="2" t="s">
        <v>11</v>
      </c>
      <c r="K115" s="2">
        <v>25082.799999999999</v>
      </c>
      <c r="L115" s="2">
        <v>45162.3</v>
      </c>
      <c r="M115" s="2">
        <v>14141.1</v>
      </c>
      <c r="N115" s="2">
        <v>14141.1</v>
      </c>
      <c r="O115" s="2">
        <v>8999.1</v>
      </c>
    </row>
    <row r="116" spans="9:15" ht="18.600000000000001" thickBot="1">
      <c r="I116" s="2" t="s">
        <v>30</v>
      </c>
      <c r="J116" s="2" t="s">
        <v>12</v>
      </c>
      <c r="K116" s="2">
        <v>10610.9</v>
      </c>
      <c r="L116" s="2">
        <v>12372.3</v>
      </c>
      <c r="M116" s="2">
        <v>6210.9</v>
      </c>
      <c r="N116" s="2">
        <v>6210.9</v>
      </c>
      <c r="O116" s="2">
        <v>1865.83</v>
      </c>
    </row>
    <row r="117" spans="9:15" ht="18.600000000000001" thickBot="1">
      <c r="I117" s="2" t="s">
        <v>30</v>
      </c>
      <c r="J117" s="2" t="s">
        <v>13</v>
      </c>
      <c r="K117" s="2">
        <v>15707.79</v>
      </c>
      <c r="L117" s="2">
        <v>27156.82</v>
      </c>
      <c r="M117" s="2">
        <v>9509.34</v>
      </c>
      <c r="N117" s="2">
        <v>9509.34</v>
      </c>
      <c r="O117" s="2">
        <v>3150.51</v>
      </c>
    </row>
    <row r="118" spans="9:15" ht="18.600000000000001" thickBot="1">
      <c r="I118" s="2" t="s">
        <v>31</v>
      </c>
      <c r="J118" s="2" t="s">
        <v>9</v>
      </c>
      <c r="K118" s="2">
        <v>350944.15</v>
      </c>
      <c r="L118" s="2">
        <v>630781.4</v>
      </c>
      <c r="M118" s="2">
        <v>213921.14</v>
      </c>
      <c r="N118" s="2">
        <v>213921.14</v>
      </c>
      <c r="O118" s="2" t="s">
        <v>10</v>
      </c>
    </row>
    <row r="119" spans="9:15" ht="18.600000000000001" thickBot="1">
      <c r="I119" s="2" t="s">
        <v>31</v>
      </c>
      <c r="J119" s="2" t="s">
        <v>11</v>
      </c>
      <c r="K119" s="2">
        <v>23365</v>
      </c>
      <c r="L119" s="2">
        <v>46208.5</v>
      </c>
      <c r="M119" s="2">
        <v>11786.7</v>
      </c>
      <c r="N119" s="2">
        <v>11786.7</v>
      </c>
      <c r="O119" s="2">
        <v>8997.27</v>
      </c>
    </row>
    <row r="120" spans="9:15" ht="18.600000000000001" thickBot="1">
      <c r="I120" s="2" t="s">
        <v>31</v>
      </c>
      <c r="J120" s="2" t="s">
        <v>12</v>
      </c>
      <c r="K120" s="2">
        <v>9637.7999999999993</v>
      </c>
      <c r="L120" s="2">
        <v>12411.3</v>
      </c>
      <c r="M120" s="2">
        <v>6333.64</v>
      </c>
      <c r="N120" s="2">
        <v>6333.64</v>
      </c>
      <c r="O120" s="2">
        <v>1819.88</v>
      </c>
    </row>
    <row r="121" spans="9:15" ht="18.600000000000001" thickBot="1">
      <c r="I121" s="2" t="s">
        <v>31</v>
      </c>
      <c r="J121" s="2" t="s">
        <v>13</v>
      </c>
      <c r="K121" s="2">
        <v>14622.67</v>
      </c>
      <c r="L121" s="2">
        <v>26282.560000000001</v>
      </c>
      <c r="M121" s="2">
        <v>8913.3799999999992</v>
      </c>
      <c r="N121" s="2">
        <v>8913.3799999999992</v>
      </c>
      <c r="O121" s="2">
        <v>3053.18</v>
      </c>
    </row>
    <row r="122" spans="9:15" ht="18.600000000000001" thickBot="1">
      <c r="I122" s="2" t="s">
        <v>32</v>
      </c>
      <c r="J122" s="2" t="s">
        <v>9</v>
      </c>
      <c r="K122" s="2">
        <v>337725.15</v>
      </c>
      <c r="L122" s="2">
        <v>683911.3</v>
      </c>
      <c r="M122" s="2">
        <v>221798.95</v>
      </c>
      <c r="N122" s="2">
        <v>221798.95</v>
      </c>
      <c r="O122" s="2" t="s">
        <v>10</v>
      </c>
    </row>
    <row r="123" spans="9:15" ht="18.600000000000001" thickBot="1">
      <c r="I123" s="2" t="s">
        <v>32</v>
      </c>
      <c r="J123" s="2" t="s">
        <v>11</v>
      </c>
      <c r="K123" s="2">
        <v>22856.1</v>
      </c>
      <c r="L123" s="2">
        <v>50561.599999999999</v>
      </c>
      <c r="M123" s="2">
        <v>12934.9</v>
      </c>
      <c r="N123" s="2">
        <v>12934.9</v>
      </c>
      <c r="O123" s="2">
        <v>5668.42</v>
      </c>
    </row>
    <row r="124" spans="9:15" ht="18.600000000000001" thickBot="1">
      <c r="I124" s="2" t="s">
        <v>32</v>
      </c>
      <c r="J124" s="2" t="s">
        <v>12</v>
      </c>
      <c r="K124" s="2">
        <v>9675.6</v>
      </c>
      <c r="L124" s="2">
        <v>13997.3</v>
      </c>
      <c r="M124" s="2">
        <v>6119.1</v>
      </c>
      <c r="N124" s="2">
        <v>6119.1</v>
      </c>
      <c r="O124" s="2">
        <v>1529.24</v>
      </c>
    </row>
    <row r="125" spans="9:15">
      <c r="I125" s="11" t="s">
        <v>32</v>
      </c>
      <c r="J125" s="11" t="s">
        <v>13</v>
      </c>
      <c r="K125" s="11">
        <v>14071.88</v>
      </c>
      <c r="L125" s="11">
        <v>28496.3</v>
      </c>
      <c r="M125" s="11">
        <v>9241.6200000000008</v>
      </c>
      <c r="N125" s="11">
        <v>9241.6200000000008</v>
      </c>
      <c r="O125" s="11">
        <v>2821.2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8081-AB8B-4347-8A75-9DE9D7900878}">
  <dimension ref="A1:P126"/>
  <sheetViews>
    <sheetView workbookViewId="0">
      <selection activeCell="E4" sqref="E4"/>
    </sheetView>
  </sheetViews>
  <sheetFormatPr defaultRowHeight="18"/>
  <sheetData>
    <row r="1" spans="1:16" ht="18.600000000000001" thickBot="1">
      <c r="A1" s="5" t="s">
        <v>33</v>
      </c>
      <c r="B1" s="7" t="s">
        <v>34</v>
      </c>
      <c r="C1" s="7" t="s">
        <v>35</v>
      </c>
      <c r="D1" s="10" t="s">
        <v>36</v>
      </c>
      <c r="E1" s="9"/>
      <c r="F1" s="9"/>
      <c r="G1" s="6"/>
      <c r="H1" s="10" t="s">
        <v>37</v>
      </c>
      <c r="I1" s="9"/>
      <c r="J1" s="9"/>
      <c r="K1" s="6"/>
      <c r="L1" s="10" t="s">
        <v>38</v>
      </c>
      <c r="M1" s="9"/>
      <c r="N1" s="9"/>
      <c r="O1" s="6"/>
      <c r="P1" s="7" t="s">
        <v>65</v>
      </c>
    </row>
    <row r="2" spans="1:16" ht="18.600000000000001" thickBot="1">
      <c r="A2" s="6"/>
      <c r="B2" s="8"/>
      <c r="C2" s="8"/>
      <c r="D2" s="4" t="s">
        <v>66</v>
      </c>
      <c r="E2" s="4" t="s">
        <v>2</v>
      </c>
      <c r="F2" s="4" t="s">
        <v>67</v>
      </c>
      <c r="G2" s="4" t="s">
        <v>5</v>
      </c>
      <c r="H2" s="4" t="s">
        <v>66</v>
      </c>
      <c r="I2" s="4" t="s">
        <v>2</v>
      </c>
      <c r="J2" s="4" t="s">
        <v>67</v>
      </c>
      <c r="K2" s="4" t="s">
        <v>5</v>
      </c>
      <c r="L2" s="4" t="s">
        <v>66</v>
      </c>
      <c r="M2" s="4" t="s">
        <v>2</v>
      </c>
      <c r="N2" s="4" t="s">
        <v>67</v>
      </c>
      <c r="O2" s="4" t="s">
        <v>5</v>
      </c>
      <c r="P2" s="8"/>
    </row>
    <row r="3" spans="1:16" ht="18.600000000000001" thickBot="1">
      <c r="A3" s="1">
        <v>46023</v>
      </c>
      <c r="B3" s="2" t="s">
        <v>9</v>
      </c>
      <c r="C3" s="2">
        <v>133118.15</v>
      </c>
      <c r="D3" s="2">
        <v>32764</v>
      </c>
      <c r="E3" s="2">
        <v>15316.55</v>
      </c>
      <c r="F3" s="2">
        <v>16761.95</v>
      </c>
      <c r="G3" s="2">
        <v>685.5</v>
      </c>
      <c r="H3" s="2">
        <v>25958.03</v>
      </c>
      <c r="I3" s="2">
        <v>9541.2000000000007</v>
      </c>
      <c r="J3" s="2">
        <v>15744.08</v>
      </c>
      <c r="K3" s="2">
        <v>672.75</v>
      </c>
      <c r="L3" s="2">
        <v>25958.03</v>
      </c>
      <c r="M3" s="2">
        <v>9541.2000000000007</v>
      </c>
      <c r="N3" s="2">
        <v>15744.08</v>
      </c>
      <c r="O3" s="2">
        <v>672.75</v>
      </c>
      <c r="P3" s="2" t="s">
        <v>10</v>
      </c>
    </row>
    <row r="4" spans="1:16" ht="18.600000000000001" thickBot="1">
      <c r="A4" s="1">
        <v>46023</v>
      </c>
      <c r="B4" s="2" t="s">
        <v>11</v>
      </c>
      <c r="C4" s="2">
        <v>8283.6</v>
      </c>
      <c r="D4" s="2">
        <v>2591.9</v>
      </c>
      <c r="E4" s="2">
        <v>1939.8</v>
      </c>
      <c r="F4" s="2">
        <v>822.2</v>
      </c>
      <c r="G4" s="2">
        <v>58.2</v>
      </c>
      <c r="H4" s="2">
        <v>2538.1</v>
      </c>
      <c r="I4" s="2">
        <v>1886.5</v>
      </c>
      <c r="J4" s="2">
        <v>765.6</v>
      </c>
      <c r="K4" s="2">
        <v>58.2</v>
      </c>
      <c r="L4" s="2">
        <v>2538.1</v>
      </c>
      <c r="M4" s="2">
        <v>1886.5</v>
      </c>
      <c r="N4" s="2">
        <v>765.6</v>
      </c>
      <c r="O4" s="2">
        <v>58.2</v>
      </c>
      <c r="P4" s="2">
        <v>10000</v>
      </c>
    </row>
    <row r="5" spans="1:16" ht="18.600000000000001" thickBot="1">
      <c r="A5" s="1">
        <v>46023</v>
      </c>
      <c r="B5" s="2" t="s">
        <v>12</v>
      </c>
      <c r="C5" s="2">
        <v>3586.6</v>
      </c>
      <c r="D5" s="2">
        <v>687.4</v>
      </c>
      <c r="E5" s="2">
        <v>0.1</v>
      </c>
      <c r="F5" s="2">
        <v>623.79999999999995</v>
      </c>
      <c r="G5" s="2">
        <v>11</v>
      </c>
      <c r="H5" s="2">
        <v>672.2</v>
      </c>
      <c r="I5" s="2">
        <v>0.1</v>
      </c>
      <c r="J5" s="2">
        <v>593.17999999999995</v>
      </c>
      <c r="K5" s="2">
        <v>11</v>
      </c>
      <c r="L5" s="2">
        <v>672.2</v>
      </c>
      <c r="M5" s="2">
        <v>0.1</v>
      </c>
      <c r="N5" s="2">
        <v>593.17999999999995</v>
      </c>
      <c r="O5" s="2">
        <v>11</v>
      </c>
      <c r="P5" s="2">
        <v>2668.2</v>
      </c>
    </row>
    <row r="6" spans="1:16" ht="18.600000000000001" thickBot="1">
      <c r="A6" s="1">
        <v>46023</v>
      </c>
      <c r="B6" s="2" t="s">
        <v>13</v>
      </c>
      <c r="C6" s="2">
        <v>5546.59</v>
      </c>
      <c r="D6" s="2">
        <v>1365.17</v>
      </c>
      <c r="E6" s="2">
        <v>638.19000000000005</v>
      </c>
      <c r="F6" s="2">
        <v>698.41</v>
      </c>
      <c r="G6" s="2">
        <v>28.56</v>
      </c>
      <c r="H6" s="2">
        <v>1081.58</v>
      </c>
      <c r="I6" s="2">
        <v>397.55</v>
      </c>
      <c r="J6" s="2">
        <v>656</v>
      </c>
      <c r="K6" s="2">
        <v>28.03</v>
      </c>
      <c r="L6" s="2">
        <v>1081.58</v>
      </c>
      <c r="M6" s="2">
        <v>397.55</v>
      </c>
      <c r="N6" s="2">
        <v>656</v>
      </c>
      <c r="O6" s="2">
        <v>28.03</v>
      </c>
      <c r="P6" s="2">
        <v>4900.3100000000004</v>
      </c>
    </row>
    <row r="7" spans="1:16" ht="18.600000000000001" thickBot="1">
      <c r="A7" s="1">
        <v>46054</v>
      </c>
      <c r="B7" s="2" t="s">
        <v>9</v>
      </c>
      <c r="C7" s="2">
        <v>145389.1</v>
      </c>
      <c r="D7" s="2">
        <v>38227.599999999999</v>
      </c>
      <c r="E7" s="2">
        <v>19278.150000000001</v>
      </c>
      <c r="F7" s="2">
        <v>18286.849999999999</v>
      </c>
      <c r="G7" s="2">
        <v>662.6</v>
      </c>
      <c r="H7" s="2">
        <v>23867.47</v>
      </c>
      <c r="I7" s="2">
        <v>7615.22</v>
      </c>
      <c r="J7" s="2">
        <v>15604.66</v>
      </c>
      <c r="K7" s="2">
        <v>647.59</v>
      </c>
      <c r="L7" s="2">
        <v>23867.47</v>
      </c>
      <c r="M7" s="2">
        <v>7615.22</v>
      </c>
      <c r="N7" s="2">
        <v>15604.66</v>
      </c>
      <c r="O7" s="2">
        <v>647.59</v>
      </c>
      <c r="P7" s="2" t="s">
        <v>10</v>
      </c>
    </row>
    <row r="8" spans="1:16" ht="18.600000000000001" thickBot="1">
      <c r="A8" s="1">
        <v>46054</v>
      </c>
      <c r="B8" s="2" t="s">
        <v>11</v>
      </c>
      <c r="C8" s="2">
        <v>8810.4</v>
      </c>
      <c r="D8" s="2">
        <v>5026.8</v>
      </c>
      <c r="E8" s="2">
        <v>4333</v>
      </c>
      <c r="F8" s="2">
        <v>1041.5</v>
      </c>
      <c r="G8" s="2">
        <v>41</v>
      </c>
      <c r="H8" s="2">
        <v>2616.3000000000002</v>
      </c>
      <c r="I8" s="2">
        <v>1994.4</v>
      </c>
      <c r="J8" s="2">
        <v>909.09</v>
      </c>
      <c r="K8" s="2">
        <v>41</v>
      </c>
      <c r="L8" s="2">
        <v>2616.3000000000002</v>
      </c>
      <c r="M8" s="2">
        <v>1994.4</v>
      </c>
      <c r="N8" s="2">
        <v>909.09</v>
      </c>
      <c r="O8" s="2">
        <v>41</v>
      </c>
      <c r="P8" s="2">
        <v>10000</v>
      </c>
    </row>
    <row r="9" spans="1:16" ht="18.600000000000001" thickBot="1">
      <c r="A9" s="1">
        <v>46054</v>
      </c>
      <c r="B9" s="2" t="s">
        <v>12</v>
      </c>
      <c r="C9" s="2">
        <v>3749.3</v>
      </c>
      <c r="D9" s="2">
        <v>612.79999999999995</v>
      </c>
      <c r="E9" s="2">
        <v>0.3</v>
      </c>
      <c r="F9" s="2">
        <v>573.5</v>
      </c>
      <c r="G9" s="2">
        <v>11</v>
      </c>
      <c r="H9" s="2">
        <v>612.79999999999995</v>
      </c>
      <c r="I9" s="2">
        <v>0.3</v>
      </c>
      <c r="J9" s="2">
        <v>566.79999999999995</v>
      </c>
      <c r="K9" s="2">
        <v>11</v>
      </c>
      <c r="L9" s="2">
        <v>612.79999999999995</v>
      </c>
      <c r="M9" s="2">
        <v>0.3</v>
      </c>
      <c r="N9" s="2">
        <v>566.79999999999995</v>
      </c>
      <c r="O9" s="2">
        <v>11</v>
      </c>
      <c r="P9" s="2">
        <v>2667.91</v>
      </c>
    </row>
    <row r="10" spans="1:16" ht="18.600000000000001" thickBot="1">
      <c r="A10" s="1">
        <v>46054</v>
      </c>
      <c r="B10" s="2" t="s">
        <v>13</v>
      </c>
      <c r="C10" s="2">
        <v>6057.88</v>
      </c>
      <c r="D10" s="2">
        <v>1592.82</v>
      </c>
      <c r="E10" s="2">
        <v>803.26</v>
      </c>
      <c r="F10" s="2">
        <v>761.95</v>
      </c>
      <c r="G10" s="2">
        <v>27.61</v>
      </c>
      <c r="H10" s="2">
        <v>994.48</v>
      </c>
      <c r="I10" s="2">
        <v>317.3</v>
      </c>
      <c r="J10" s="2">
        <v>650.19000000000005</v>
      </c>
      <c r="K10" s="2">
        <v>26.98</v>
      </c>
      <c r="L10" s="2">
        <v>994.48</v>
      </c>
      <c r="M10" s="2">
        <v>317.3</v>
      </c>
      <c r="N10" s="2">
        <v>650.19000000000005</v>
      </c>
      <c r="O10" s="2">
        <v>26.98</v>
      </c>
      <c r="P10" s="2">
        <v>4983.8</v>
      </c>
    </row>
    <row r="11" spans="1:16" ht="18.600000000000001" thickBot="1">
      <c r="A11" s="1">
        <v>46082</v>
      </c>
      <c r="B11" s="2" t="s">
        <v>9</v>
      </c>
      <c r="C11" s="2">
        <v>147671.35</v>
      </c>
      <c r="D11" s="2">
        <v>32060.13</v>
      </c>
      <c r="E11" s="2">
        <v>13531.68</v>
      </c>
      <c r="F11" s="2">
        <v>17892.349999999999</v>
      </c>
      <c r="G11" s="2">
        <v>636.1</v>
      </c>
      <c r="H11" s="2">
        <v>28749.38</v>
      </c>
      <c r="I11" s="2">
        <v>11807.19</v>
      </c>
      <c r="J11" s="2">
        <v>16327.1</v>
      </c>
      <c r="K11" s="2">
        <v>615.09</v>
      </c>
      <c r="L11" s="2">
        <v>28749.38</v>
      </c>
      <c r="M11" s="2">
        <v>11807.19</v>
      </c>
      <c r="N11" s="2">
        <v>16327.1</v>
      </c>
      <c r="O11" s="2">
        <v>615.09</v>
      </c>
      <c r="P11" s="2" t="s">
        <v>10</v>
      </c>
    </row>
    <row r="12" spans="1:16" ht="18.600000000000001" thickBot="1">
      <c r="A12" s="1">
        <v>46082</v>
      </c>
      <c r="B12" s="2" t="s">
        <v>11</v>
      </c>
      <c r="C12" s="2">
        <v>9847.6</v>
      </c>
      <c r="D12" s="2">
        <v>2362.3000000000002</v>
      </c>
      <c r="E12" s="2">
        <v>1715.6</v>
      </c>
      <c r="F12" s="2">
        <v>1045.0999999999999</v>
      </c>
      <c r="G12" s="2">
        <v>41</v>
      </c>
      <c r="H12" s="2">
        <v>2327.9</v>
      </c>
      <c r="I12" s="2">
        <v>1686.9</v>
      </c>
      <c r="J12" s="2">
        <v>836.4</v>
      </c>
      <c r="K12" s="2">
        <v>41</v>
      </c>
      <c r="L12" s="2">
        <v>2327.9</v>
      </c>
      <c r="M12" s="2">
        <v>1686.9</v>
      </c>
      <c r="N12" s="2">
        <v>836.4</v>
      </c>
      <c r="O12" s="2">
        <v>41</v>
      </c>
      <c r="P12" s="2">
        <v>10000</v>
      </c>
    </row>
    <row r="13" spans="1:16" ht="18.600000000000001" thickBot="1">
      <c r="A13" s="1">
        <v>46082</v>
      </c>
      <c r="B13" s="2" t="s">
        <v>12</v>
      </c>
      <c r="C13" s="2">
        <v>3837.3</v>
      </c>
      <c r="D13" s="2">
        <v>609.5</v>
      </c>
      <c r="E13" s="2">
        <v>0.1</v>
      </c>
      <c r="F13" s="2">
        <v>561.5</v>
      </c>
      <c r="G13" s="2">
        <v>11</v>
      </c>
      <c r="H13" s="2">
        <v>609.49</v>
      </c>
      <c r="I13" s="2">
        <v>0.1</v>
      </c>
      <c r="J13" s="2">
        <v>561.5</v>
      </c>
      <c r="K13" s="2">
        <v>11</v>
      </c>
      <c r="L13" s="2">
        <v>609.49</v>
      </c>
      <c r="M13" s="2">
        <v>0.1</v>
      </c>
      <c r="N13" s="2">
        <v>561.5</v>
      </c>
      <c r="O13" s="2">
        <v>11</v>
      </c>
      <c r="P13" s="2">
        <v>2910.42</v>
      </c>
    </row>
    <row r="14" spans="1:16" ht="18.600000000000001" thickBot="1">
      <c r="A14" s="1">
        <v>46082</v>
      </c>
      <c r="B14" s="2" t="s">
        <v>13</v>
      </c>
      <c r="C14" s="2">
        <v>6152.97</v>
      </c>
      <c r="D14" s="2">
        <v>1335.84</v>
      </c>
      <c r="E14" s="2">
        <v>563.82000000000005</v>
      </c>
      <c r="F14" s="2">
        <v>745.51</v>
      </c>
      <c r="G14" s="2">
        <v>26.5</v>
      </c>
      <c r="H14" s="2">
        <v>1197.8900000000001</v>
      </c>
      <c r="I14" s="2">
        <v>491.97</v>
      </c>
      <c r="J14" s="2">
        <v>680.3</v>
      </c>
      <c r="K14" s="2">
        <v>25.63</v>
      </c>
      <c r="L14" s="2">
        <v>1197.8900000000001</v>
      </c>
      <c r="M14" s="2">
        <v>491.97</v>
      </c>
      <c r="N14" s="2">
        <v>680.3</v>
      </c>
      <c r="O14" s="2">
        <v>25.63</v>
      </c>
      <c r="P14" s="2">
        <v>5066.18</v>
      </c>
    </row>
    <row r="15" spans="1:16" ht="18.600000000000001" thickBot="1">
      <c r="A15" s="1">
        <v>46113</v>
      </c>
      <c r="B15" s="2" t="s">
        <v>9</v>
      </c>
      <c r="C15" s="2">
        <v>127227.18</v>
      </c>
      <c r="D15" s="2">
        <v>36063.08</v>
      </c>
      <c r="E15" s="2">
        <v>16476.650000000001</v>
      </c>
      <c r="F15" s="2">
        <v>18506.38</v>
      </c>
      <c r="G15" s="2">
        <v>1080.05</v>
      </c>
      <c r="H15" s="2">
        <v>31223.91</v>
      </c>
      <c r="I15" s="2">
        <v>14572.45</v>
      </c>
      <c r="J15" s="2">
        <v>15593.98</v>
      </c>
      <c r="K15" s="2">
        <v>1057.49</v>
      </c>
      <c r="L15" s="2">
        <v>31223.91</v>
      </c>
      <c r="M15" s="2">
        <v>14572.45</v>
      </c>
      <c r="N15" s="2">
        <v>15593.98</v>
      </c>
      <c r="O15" s="2">
        <v>1057.49</v>
      </c>
      <c r="P15" s="2" t="s">
        <v>10</v>
      </c>
    </row>
    <row r="16" spans="1:16" ht="18.600000000000001" thickBot="1">
      <c r="A16" s="1">
        <v>46113</v>
      </c>
      <c r="B16" s="2" t="s">
        <v>11</v>
      </c>
      <c r="C16" s="2">
        <v>7794</v>
      </c>
      <c r="D16" s="2">
        <v>2790.2</v>
      </c>
      <c r="E16" s="2">
        <v>2149.4</v>
      </c>
      <c r="F16" s="2">
        <v>1023.4</v>
      </c>
      <c r="G16" s="2">
        <v>179</v>
      </c>
      <c r="H16" s="2">
        <v>2706.4</v>
      </c>
      <c r="I16" s="2">
        <v>2076.9</v>
      </c>
      <c r="J16" s="2">
        <v>806.58</v>
      </c>
      <c r="K16" s="2">
        <v>179</v>
      </c>
      <c r="L16" s="2">
        <v>2706.4</v>
      </c>
      <c r="M16" s="2">
        <v>2076.9</v>
      </c>
      <c r="N16" s="2">
        <v>806.58</v>
      </c>
      <c r="O16" s="2">
        <v>179</v>
      </c>
      <c r="P16" s="2">
        <v>6500.06</v>
      </c>
    </row>
    <row r="17" spans="1:16" ht="18.600000000000001" thickBot="1">
      <c r="A17" s="1">
        <v>46113</v>
      </c>
      <c r="B17" s="2" t="s">
        <v>12</v>
      </c>
      <c r="C17" s="2">
        <v>3803</v>
      </c>
      <c r="D17" s="2">
        <v>703.8</v>
      </c>
      <c r="E17" s="2">
        <v>0.5</v>
      </c>
      <c r="F17" s="2">
        <v>606.79999999999995</v>
      </c>
      <c r="G17" s="2">
        <v>11</v>
      </c>
      <c r="H17" s="2">
        <v>654.29999999999995</v>
      </c>
      <c r="I17" s="2">
        <v>0.5</v>
      </c>
      <c r="J17" s="2">
        <v>583.9</v>
      </c>
      <c r="K17" s="2">
        <v>11</v>
      </c>
      <c r="L17" s="2">
        <v>654.29999999999995</v>
      </c>
      <c r="M17" s="2">
        <v>0.5</v>
      </c>
      <c r="N17" s="2">
        <v>583.9</v>
      </c>
      <c r="O17" s="2">
        <v>11</v>
      </c>
      <c r="P17" s="2">
        <v>2400.09</v>
      </c>
    </row>
    <row r="18" spans="1:16" ht="18.600000000000001" thickBot="1">
      <c r="A18" s="1">
        <v>46113</v>
      </c>
      <c r="B18" s="2" t="s">
        <v>13</v>
      </c>
      <c r="C18" s="2">
        <v>5301.13</v>
      </c>
      <c r="D18" s="2">
        <v>1502.63</v>
      </c>
      <c r="E18" s="2">
        <v>686.53</v>
      </c>
      <c r="F18" s="2">
        <v>771.1</v>
      </c>
      <c r="G18" s="2">
        <v>45</v>
      </c>
      <c r="H18" s="2">
        <v>1301</v>
      </c>
      <c r="I18" s="2">
        <v>607.19000000000005</v>
      </c>
      <c r="J18" s="2">
        <v>649.75</v>
      </c>
      <c r="K18" s="2">
        <v>44.06</v>
      </c>
      <c r="L18" s="2">
        <v>1301</v>
      </c>
      <c r="M18" s="2">
        <v>607.19000000000005</v>
      </c>
      <c r="N18" s="2">
        <v>649.75</v>
      </c>
      <c r="O18" s="2">
        <v>44.06</v>
      </c>
      <c r="P18" s="2">
        <v>3889.69</v>
      </c>
    </row>
    <row r="19" spans="1:16" ht="18.600000000000001" thickBot="1">
      <c r="A19" s="1">
        <v>46143</v>
      </c>
      <c r="B19" s="2" t="s">
        <v>9</v>
      </c>
      <c r="C19" s="2">
        <v>142463.23000000001</v>
      </c>
      <c r="D19" s="2">
        <v>33754.629999999997</v>
      </c>
      <c r="E19" s="2">
        <v>16451.88</v>
      </c>
      <c r="F19" s="2">
        <v>16631.45</v>
      </c>
      <c r="G19" s="2">
        <v>671.3</v>
      </c>
      <c r="H19" s="2">
        <v>24431.49</v>
      </c>
      <c r="I19" s="2">
        <v>8708.2999999999993</v>
      </c>
      <c r="J19" s="2">
        <v>15100.36</v>
      </c>
      <c r="K19" s="2">
        <v>622.83000000000004</v>
      </c>
      <c r="L19" s="2">
        <v>24431.49</v>
      </c>
      <c r="M19" s="2">
        <v>8708.2999999999993</v>
      </c>
      <c r="N19" s="2">
        <v>15100.36</v>
      </c>
      <c r="O19" s="2">
        <v>622.83000000000004</v>
      </c>
      <c r="P19" s="2" t="s">
        <v>10</v>
      </c>
    </row>
    <row r="20" spans="1:16" ht="18.600000000000001" thickBot="1">
      <c r="A20" s="1">
        <v>46143</v>
      </c>
      <c r="B20" s="2" t="s">
        <v>11</v>
      </c>
      <c r="C20" s="2">
        <v>9536.7999999999993</v>
      </c>
      <c r="D20" s="2">
        <v>2681.5</v>
      </c>
      <c r="E20" s="2">
        <v>2046.2</v>
      </c>
      <c r="F20" s="2">
        <v>844.2</v>
      </c>
      <c r="G20" s="2">
        <v>66.8</v>
      </c>
      <c r="H20" s="2">
        <v>2575.9</v>
      </c>
      <c r="I20" s="2">
        <v>1929.6</v>
      </c>
      <c r="J20" s="2">
        <v>818.79</v>
      </c>
      <c r="K20" s="2">
        <v>52.2</v>
      </c>
      <c r="L20" s="2">
        <v>2575.9</v>
      </c>
      <c r="M20" s="2">
        <v>1929.6</v>
      </c>
      <c r="N20" s="2">
        <v>818.79</v>
      </c>
      <c r="O20" s="2">
        <v>52.2</v>
      </c>
      <c r="P20" s="2">
        <v>10000</v>
      </c>
    </row>
    <row r="21" spans="1:16" ht="18.600000000000001" thickBot="1">
      <c r="A21" s="1">
        <v>46143</v>
      </c>
      <c r="B21" s="2" t="s">
        <v>12</v>
      </c>
      <c r="C21" s="2">
        <v>3450.8</v>
      </c>
      <c r="D21" s="2">
        <v>587.29999999999995</v>
      </c>
      <c r="E21" s="2">
        <v>0.1</v>
      </c>
      <c r="F21" s="2">
        <v>548.1</v>
      </c>
      <c r="G21" s="2">
        <v>11</v>
      </c>
      <c r="H21" s="2">
        <v>587.29999999999995</v>
      </c>
      <c r="I21" s="2">
        <v>0.1</v>
      </c>
      <c r="J21" s="2">
        <v>548.1</v>
      </c>
      <c r="K21" s="2">
        <v>11</v>
      </c>
      <c r="L21" s="2">
        <v>587.29999999999995</v>
      </c>
      <c r="M21" s="2">
        <v>0.1</v>
      </c>
      <c r="N21" s="2">
        <v>548.1</v>
      </c>
      <c r="O21" s="2">
        <v>11</v>
      </c>
      <c r="P21" s="2">
        <v>2999.14</v>
      </c>
    </row>
    <row r="22" spans="1:16" ht="18.600000000000001" thickBot="1">
      <c r="A22" s="1">
        <v>46143</v>
      </c>
      <c r="B22" s="2" t="s">
        <v>13</v>
      </c>
      <c r="C22" s="2">
        <v>5935.97</v>
      </c>
      <c r="D22" s="2">
        <v>1406.44</v>
      </c>
      <c r="E22" s="2">
        <v>685.49</v>
      </c>
      <c r="F22" s="2">
        <v>692.98</v>
      </c>
      <c r="G22" s="2">
        <v>27.97</v>
      </c>
      <c r="H22" s="2">
        <v>1017.98</v>
      </c>
      <c r="I22" s="2">
        <v>362.85</v>
      </c>
      <c r="J22" s="2">
        <v>629.17999999999995</v>
      </c>
      <c r="K22" s="2">
        <v>25.95</v>
      </c>
      <c r="L22" s="2">
        <v>1017.98</v>
      </c>
      <c r="M22" s="2">
        <v>362.85</v>
      </c>
      <c r="N22" s="2">
        <v>629.17999999999995</v>
      </c>
      <c r="O22" s="2">
        <v>25.95</v>
      </c>
      <c r="P22" s="2">
        <v>4881.04</v>
      </c>
    </row>
    <row r="23" spans="1:16" ht="18.600000000000001" thickBot="1">
      <c r="A23" s="1">
        <v>46174</v>
      </c>
      <c r="B23" s="2" t="s">
        <v>9</v>
      </c>
      <c r="C23" s="2">
        <v>153124.20000000001</v>
      </c>
      <c r="D23" s="2">
        <v>36622.03</v>
      </c>
      <c r="E23" s="2">
        <v>17133.900000000001</v>
      </c>
      <c r="F23" s="2">
        <v>18782.330000000002</v>
      </c>
      <c r="G23" s="2">
        <v>705.8</v>
      </c>
      <c r="H23" s="2">
        <v>22227.5</v>
      </c>
      <c r="I23" s="2">
        <v>6121.8</v>
      </c>
      <c r="J23" s="2">
        <v>15452.41</v>
      </c>
      <c r="K23" s="2">
        <v>653.29999999999995</v>
      </c>
      <c r="L23" s="2">
        <v>22227.5</v>
      </c>
      <c r="M23" s="2">
        <v>6121.8</v>
      </c>
      <c r="N23" s="2">
        <v>15452.41</v>
      </c>
      <c r="O23" s="2">
        <v>653.29999999999995</v>
      </c>
      <c r="P23" s="2" t="s">
        <v>10</v>
      </c>
    </row>
    <row r="24" spans="1:16" ht="18.600000000000001" thickBot="1">
      <c r="A24" s="1">
        <v>46174</v>
      </c>
      <c r="B24" s="2" t="s">
        <v>11</v>
      </c>
      <c r="C24" s="2">
        <v>9154.7000000000007</v>
      </c>
      <c r="D24" s="2">
        <v>2758.5</v>
      </c>
      <c r="E24" s="2">
        <v>2109.3000000000002</v>
      </c>
      <c r="F24" s="2">
        <v>1032.5</v>
      </c>
      <c r="G24" s="2">
        <v>69</v>
      </c>
      <c r="H24" s="2">
        <v>2215.9699999999998</v>
      </c>
      <c r="I24" s="2">
        <v>1574.52</v>
      </c>
      <c r="J24" s="2">
        <v>930.9</v>
      </c>
      <c r="K24" s="2">
        <v>69</v>
      </c>
      <c r="L24" s="2">
        <v>2215.9699999999998</v>
      </c>
      <c r="M24" s="2">
        <v>1574.52</v>
      </c>
      <c r="N24" s="2">
        <v>930.9</v>
      </c>
      <c r="O24" s="2">
        <v>69</v>
      </c>
      <c r="P24" s="2">
        <v>10000</v>
      </c>
    </row>
    <row r="25" spans="1:16" ht="18.600000000000001" thickBot="1">
      <c r="A25" s="1">
        <v>46174</v>
      </c>
      <c r="B25" s="2" t="s">
        <v>12</v>
      </c>
      <c r="C25" s="2">
        <v>4233.7</v>
      </c>
      <c r="D25" s="2">
        <v>563.1</v>
      </c>
      <c r="E25" s="2">
        <v>0.2</v>
      </c>
      <c r="F25" s="2">
        <v>519.5</v>
      </c>
      <c r="G25" s="2">
        <v>11</v>
      </c>
      <c r="H25" s="2">
        <v>563.08000000000004</v>
      </c>
      <c r="I25" s="2">
        <v>0.2</v>
      </c>
      <c r="J25" s="2">
        <v>519</v>
      </c>
      <c r="K25" s="2">
        <v>11</v>
      </c>
      <c r="L25" s="2">
        <v>563.08000000000004</v>
      </c>
      <c r="M25" s="2">
        <v>0.2</v>
      </c>
      <c r="N25" s="2">
        <v>519</v>
      </c>
      <c r="O25" s="2">
        <v>11</v>
      </c>
      <c r="P25" s="2">
        <v>2800.54</v>
      </c>
    </row>
    <row r="26" spans="1:16" ht="18.600000000000001" thickBot="1">
      <c r="A26" s="1">
        <v>46174</v>
      </c>
      <c r="B26" s="2" t="s">
        <v>13</v>
      </c>
      <c r="C26" s="2">
        <v>6380.18</v>
      </c>
      <c r="D26" s="2">
        <v>1525.92</v>
      </c>
      <c r="E26" s="2">
        <v>713.91</v>
      </c>
      <c r="F26" s="2">
        <v>782.6</v>
      </c>
      <c r="G26" s="2">
        <v>29.41</v>
      </c>
      <c r="H26" s="2">
        <v>926.15</v>
      </c>
      <c r="I26" s="2">
        <v>255.07</v>
      </c>
      <c r="J26" s="2">
        <v>643.85</v>
      </c>
      <c r="K26" s="2">
        <v>27.22</v>
      </c>
      <c r="L26" s="2">
        <v>926.15</v>
      </c>
      <c r="M26" s="2">
        <v>255.07</v>
      </c>
      <c r="N26" s="2">
        <v>643.85</v>
      </c>
      <c r="O26" s="2">
        <v>27.22</v>
      </c>
      <c r="P26" s="2">
        <v>4654.57</v>
      </c>
    </row>
    <row r="27" spans="1:16" ht="18.600000000000001" thickBot="1">
      <c r="A27" s="1">
        <v>46204</v>
      </c>
      <c r="B27" s="2" t="s">
        <v>9</v>
      </c>
      <c r="C27" s="2">
        <v>145219.13</v>
      </c>
      <c r="D27" s="2">
        <v>43002.65</v>
      </c>
      <c r="E27" s="2">
        <v>20978.5</v>
      </c>
      <c r="F27" s="2">
        <v>21320.85</v>
      </c>
      <c r="G27" s="2">
        <v>703.3</v>
      </c>
      <c r="H27" s="2">
        <v>25007.66</v>
      </c>
      <c r="I27" s="2">
        <v>8321.6</v>
      </c>
      <c r="J27" s="2">
        <v>16014.07</v>
      </c>
      <c r="K27" s="2">
        <v>671.99</v>
      </c>
      <c r="L27" s="2">
        <v>25007.66</v>
      </c>
      <c r="M27" s="2">
        <v>8321.6</v>
      </c>
      <c r="N27" s="2">
        <v>16014.07</v>
      </c>
      <c r="O27" s="2">
        <v>671.99</v>
      </c>
      <c r="P27" s="2" t="s">
        <v>10</v>
      </c>
    </row>
    <row r="28" spans="1:16" ht="18.600000000000001" thickBot="1">
      <c r="A28" s="1">
        <v>46204</v>
      </c>
      <c r="B28" s="2" t="s">
        <v>11</v>
      </c>
      <c r="C28" s="2">
        <v>9958</v>
      </c>
      <c r="D28" s="2">
        <v>4979.1000000000004</v>
      </c>
      <c r="E28" s="2">
        <v>4085.3</v>
      </c>
      <c r="F28" s="2">
        <v>1212.7</v>
      </c>
      <c r="G28" s="2">
        <v>68</v>
      </c>
      <c r="H28" s="2">
        <v>2625.4</v>
      </c>
      <c r="I28" s="2">
        <v>1974.5</v>
      </c>
      <c r="J28" s="2">
        <v>909</v>
      </c>
      <c r="K28" s="2">
        <v>68</v>
      </c>
      <c r="L28" s="2">
        <v>2625.4</v>
      </c>
      <c r="M28" s="2">
        <v>1974.5</v>
      </c>
      <c r="N28" s="2">
        <v>909</v>
      </c>
      <c r="O28" s="2">
        <v>68</v>
      </c>
      <c r="P28" s="2">
        <v>10000</v>
      </c>
    </row>
    <row r="29" spans="1:16" ht="18.600000000000001" thickBot="1">
      <c r="A29" s="1">
        <v>46204</v>
      </c>
      <c r="B29" s="2" t="s">
        <v>12</v>
      </c>
      <c r="C29" s="2">
        <v>3663.5</v>
      </c>
      <c r="D29" s="2">
        <v>599.9</v>
      </c>
      <c r="E29" s="2">
        <v>0.1</v>
      </c>
      <c r="F29" s="2">
        <v>547.79999999999995</v>
      </c>
      <c r="G29" s="2">
        <v>10</v>
      </c>
      <c r="H29" s="2">
        <v>599.9</v>
      </c>
      <c r="I29" s="2">
        <v>0.1</v>
      </c>
      <c r="J29" s="2">
        <v>547.79999999999995</v>
      </c>
      <c r="K29" s="2">
        <v>10</v>
      </c>
      <c r="L29" s="2">
        <v>599.9</v>
      </c>
      <c r="M29" s="2">
        <v>0.1</v>
      </c>
      <c r="N29" s="2">
        <v>547.79999999999995</v>
      </c>
      <c r="O29" s="2">
        <v>10</v>
      </c>
      <c r="P29" s="2">
        <v>2600.7800000000002</v>
      </c>
    </row>
    <row r="30" spans="1:16" ht="18.600000000000001" thickBot="1">
      <c r="A30" s="1">
        <v>46204</v>
      </c>
      <c r="B30" s="2" t="s">
        <v>13</v>
      </c>
      <c r="C30" s="2">
        <v>6050.8</v>
      </c>
      <c r="D30" s="2">
        <v>1791.78</v>
      </c>
      <c r="E30" s="2">
        <v>874.1</v>
      </c>
      <c r="F30" s="2">
        <v>888.37</v>
      </c>
      <c r="G30" s="2">
        <v>29.3</v>
      </c>
      <c r="H30" s="2">
        <v>1041.99</v>
      </c>
      <c r="I30" s="2">
        <v>346.73</v>
      </c>
      <c r="J30" s="2">
        <v>667.25</v>
      </c>
      <c r="K30" s="2">
        <v>28</v>
      </c>
      <c r="L30" s="2">
        <v>1041.99</v>
      </c>
      <c r="M30" s="2">
        <v>346.73</v>
      </c>
      <c r="N30" s="2">
        <v>667.25</v>
      </c>
      <c r="O30" s="2">
        <v>28</v>
      </c>
      <c r="P30" s="2">
        <v>4511.91</v>
      </c>
    </row>
    <row r="31" spans="1:16" ht="18.600000000000001" thickBot="1">
      <c r="A31" s="1">
        <v>46235</v>
      </c>
      <c r="B31" s="2" t="s">
        <v>9</v>
      </c>
      <c r="C31" s="2">
        <v>161868.28</v>
      </c>
      <c r="D31" s="2">
        <v>36742.800000000003</v>
      </c>
      <c r="E31" s="2">
        <v>16685.25</v>
      </c>
      <c r="F31" s="2">
        <v>19344.75</v>
      </c>
      <c r="G31" s="2">
        <v>712.8</v>
      </c>
      <c r="H31" s="2">
        <v>32705.48</v>
      </c>
      <c r="I31" s="2">
        <v>13628.21</v>
      </c>
      <c r="J31" s="2">
        <v>18401.310000000001</v>
      </c>
      <c r="K31" s="2">
        <v>675.96</v>
      </c>
      <c r="L31" s="2">
        <v>32705.48</v>
      </c>
      <c r="M31" s="2">
        <v>13628.21</v>
      </c>
      <c r="N31" s="2">
        <v>18401.310000000001</v>
      </c>
      <c r="O31" s="2">
        <v>675.96</v>
      </c>
      <c r="P31" s="2" t="s">
        <v>10</v>
      </c>
    </row>
    <row r="32" spans="1:16" ht="18.600000000000001" thickBot="1">
      <c r="A32" s="1">
        <v>46235</v>
      </c>
      <c r="B32" s="2" t="s">
        <v>11</v>
      </c>
      <c r="C32" s="2">
        <v>9336.7000000000007</v>
      </c>
      <c r="D32" s="2">
        <v>2814.6</v>
      </c>
      <c r="E32" s="2">
        <v>2093.9</v>
      </c>
      <c r="F32" s="2">
        <v>1178.5</v>
      </c>
      <c r="G32" s="2">
        <v>68</v>
      </c>
      <c r="H32" s="2">
        <v>2795.1</v>
      </c>
      <c r="I32" s="2">
        <v>2093.6</v>
      </c>
      <c r="J32" s="2">
        <v>1155.3</v>
      </c>
      <c r="K32" s="2">
        <v>68</v>
      </c>
      <c r="L32" s="2">
        <v>2795.1</v>
      </c>
      <c r="M32" s="2">
        <v>2093.6</v>
      </c>
      <c r="N32" s="2">
        <v>1155.3</v>
      </c>
      <c r="O32" s="2">
        <v>68</v>
      </c>
      <c r="P32" s="2">
        <v>10000</v>
      </c>
    </row>
    <row r="33" spans="1:16" ht="18.600000000000001" thickBot="1">
      <c r="A33" s="1">
        <v>46235</v>
      </c>
      <c r="B33" s="2" t="s">
        <v>12</v>
      </c>
      <c r="C33" s="2">
        <v>4158.5</v>
      </c>
      <c r="D33" s="2">
        <v>663.9</v>
      </c>
      <c r="E33" s="2">
        <v>0.3</v>
      </c>
      <c r="F33" s="2">
        <v>622.1</v>
      </c>
      <c r="G33" s="2">
        <v>10</v>
      </c>
      <c r="H33" s="2">
        <v>663.88</v>
      </c>
      <c r="I33" s="2">
        <v>0.3</v>
      </c>
      <c r="J33" s="2">
        <v>622.1</v>
      </c>
      <c r="K33" s="2">
        <v>10</v>
      </c>
      <c r="L33" s="2">
        <v>663.88</v>
      </c>
      <c r="M33" s="2">
        <v>0.3</v>
      </c>
      <c r="N33" s="2">
        <v>622.1</v>
      </c>
      <c r="O33" s="2">
        <v>10</v>
      </c>
      <c r="P33" s="2">
        <v>2800.91</v>
      </c>
    </row>
    <row r="34" spans="1:16" ht="18.600000000000001" thickBot="1">
      <c r="A34" s="1">
        <v>46235</v>
      </c>
      <c r="B34" s="2" t="s">
        <v>13</v>
      </c>
      <c r="C34" s="2">
        <v>6744.51</v>
      </c>
      <c r="D34" s="2">
        <v>1530.95</v>
      </c>
      <c r="E34" s="2">
        <v>695.22</v>
      </c>
      <c r="F34" s="2">
        <v>806.03</v>
      </c>
      <c r="G34" s="2">
        <v>29.7</v>
      </c>
      <c r="H34" s="2">
        <v>1362.73</v>
      </c>
      <c r="I34" s="2">
        <v>567.84</v>
      </c>
      <c r="J34" s="2">
        <v>766.72</v>
      </c>
      <c r="K34" s="2">
        <v>28.17</v>
      </c>
      <c r="L34" s="2">
        <v>1362.73</v>
      </c>
      <c r="M34" s="2">
        <v>567.84</v>
      </c>
      <c r="N34" s="2">
        <v>766.72</v>
      </c>
      <c r="O34" s="2">
        <v>28.17</v>
      </c>
      <c r="P34" s="2">
        <v>5067.46</v>
      </c>
    </row>
    <row r="35" spans="1:16" ht="18.600000000000001" thickBot="1">
      <c r="A35" s="1">
        <v>46266</v>
      </c>
      <c r="B35" s="2" t="s">
        <v>9</v>
      </c>
      <c r="C35" s="2">
        <v>164533.65</v>
      </c>
      <c r="D35" s="2">
        <v>39754.629999999997</v>
      </c>
      <c r="E35" s="2">
        <v>18746.23</v>
      </c>
      <c r="F35" s="2">
        <v>20379.150000000001</v>
      </c>
      <c r="G35" s="2">
        <v>629.25</v>
      </c>
      <c r="H35" s="2">
        <v>27551.040000000001</v>
      </c>
      <c r="I35" s="2">
        <v>9587.66</v>
      </c>
      <c r="J35" s="2">
        <v>17352.189999999999</v>
      </c>
      <c r="K35" s="2">
        <v>611.19000000000005</v>
      </c>
      <c r="L35" s="2">
        <v>27551.040000000001</v>
      </c>
      <c r="M35" s="2">
        <v>9587.66</v>
      </c>
      <c r="N35" s="2">
        <v>17352.189999999999</v>
      </c>
      <c r="O35" s="2">
        <v>611.19000000000005</v>
      </c>
      <c r="P35" s="2" t="s">
        <v>10</v>
      </c>
    </row>
    <row r="36" spans="1:16" ht="18.600000000000001" thickBot="1">
      <c r="A36" s="1">
        <v>46266</v>
      </c>
      <c r="B36" s="2" t="s">
        <v>11</v>
      </c>
      <c r="C36" s="2">
        <v>10703.6</v>
      </c>
      <c r="D36" s="2">
        <v>3013.4</v>
      </c>
      <c r="E36" s="2">
        <v>2351.8000000000002</v>
      </c>
      <c r="F36" s="2">
        <v>1243.2</v>
      </c>
      <c r="G36" s="2">
        <v>66.3</v>
      </c>
      <c r="H36" s="2">
        <v>2865</v>
      </c>
      <c r="I36" s="2">
        <v>2186</v>
      </c>
      <c r="J36" s="2">
        <v>1115.29</v>
      </c>
      <c r="K36" s="2">
        <v>66.3</v>
      </c>
      <c r="L36" s="2">
        <v>2865</v>
      </c>
      <c r="M36" s="2">
        <v>2186</v>
      </c>
      <c r="N36" s="2">
        <v>1115.29</v>
      </c>
      <c r="O36" s="2">
        <v>66.3</v>
      </c>
      <c r="P36" s="2">
        <v>10000</v>
      </c>
    </row>
    <row r="37" spans="1:16" ht="18.600000000000001" thickBot="1">
      <c r="A37" s="1">
        <v>46266</v>
      </c>
      <c r="B37" s="2" t="s">
        <v>12</v>
      </c>
      <c r="C37" s="2">
        <v>4015.4</v>
      </c>
      <c r="D37" s="2">
        <v>643.1</v>
      </c>
      <c r="E37" s="2">
        <v>0.3</v>
      </c>
      <c r="F37" s="2">
        <v>603.29999999999995</v>
      </c>
      <c r="G37" s="2">
        <v>10</v>
      </c>
      <c r="H37" s="2">
        <v>619.6</v>
      </c>
      <c r="I37" s="2">
        <v>0.3</v>
      </c>
      <c r="J37" s="2">
        <v>588.91999999999996</v>
      </c>
      <c r="K37" s="2">
        <v>10</v>
      </c>
      <c r="L37" s="2">
        <v>619.6</v>
      </c>
      <c r="M37" s="2">
        <v>0.3</v>
      </c>
      <c r="N37" s="2">
        <v>588.91999999999996</v>
      </c>
      <c r="O37" s="2">
        <v>10</v>
      </c>
      <c r="P37" s="2">
        <v>2800.93</v>
      </c>
    </row>
    <row r="38" spans="1:16" ht="18.600000000000001" thickBot="1">
      <c r="A38" s="1">
        <v>46266</v>
      </c>
      <c r="B38" s="2" t="s">
        <v>13</v>
      </c>
      <c r="C38" s="2">
        <v>6855.57</v>
      </c>
      <c r="D38" s="2">
        <v>1656.44</v>
      </c>
      <c r="E38" s="2">
        <v>781.09</v>
      </c>
      <c r="F38" s="2">
        <v>849.13</v>
      </c>
      <c r="G38" s="2">
        <v>26.22</v>
      </c>
      <c r="H38" s="2">
        <v>1147.96</v>
      </c>
      <c r="I38" s="2">
        <v>399.49</v>
      </c>
      <c r="J38" s="2">
        <v>723.01</v>
      </c>
      <c r="K38" s="2">
        <v>25.47</v>
      </c>
      <c r="L38" s="2">
        <v>1147.96</v>
      </c>
      <c r="M38" s="2">
        <v>399.49</v>
      </c>
      <c r="N38" s="2">
        <v>723.01</v>
      </c>
      <c r="O38" s="2">
        <v>25.47</v>
      </c>
      <c r="P38" s="2">
        <v>5012.3900000000003</v>
      </c>
    </row>
    <row r="39" spans="1:16" ht="18.600000000000001" thickBot="1">
      <c r="A39" s="1">
        <v>46296</v>
      </c>
      <c r="B39" s="2" t="s">
        <v>9</v>
      </c>
      <c r="C39" s="2">
        <v>148867.4</v>
      </c>
      <c r="D39" s="2">
        <v>43572.68</v>
      </c>
      <c r="E39" s="2">
        <v>19500.88</v>
      </c>
      <c r="F39" s="2">
        <v>23406.9</v>
      </c>
      <c r="G39" s="2">
        <v>664.9</v>
      </c>
      <c r="H39" s="2">
        <v>28601.73</v>
      </c>
      <c r="I39" s="2">
        <v>9405.41</v>
      </c>
      <c r="J39" s="2">
        <v>18591.419999999998</v>
      </c>
      <c r="K39" s="2">
        <v>604.9</v>
      </c>
      <c r="L39" s="2">
        <v>28601.73</v>
      </c>
      <c r="M39" s="2">
        <v>9405.41</v>
      </c>
      <c r="N39" s="2">
        <v>18591.419999999998</v>
      </c>
      <c r="O39" s="2">
        <v>604.9</v>
      </c>
      <c r="P39" s="2" t="s">
        <v>10</v>
      </c>
    </row>
    <row r="40" spans="1:16" ht="18.600000000000001" thickBot="1">
      <c r="A40" s="1">
        <v>46296</v>
      </c>
      <c r="B40" s="2" t="s">
        <v>11</v>
      </c>
      <c r="C40" s="2">
        <v>9241.7000000000007</v>
      </c>
      <c r="D40" s="2">
        <v>3236.4</v>
      </c>
      <c r="E40" s="2">
        <v>2490.6999999999998</v>
      </c>
      <c r="F40" s="2">
        <v>1346.7</v>
      </c>
      <c r="G40" s="2">
        <v>68</v>
      </c>
      <c r="H40" s="2">
        <v>2970.6</v>
      </c>
      <c r="I40" s="2">
        <v>2264.1999999999998</v>
      </c>
      <c r="J40" s="2">
        <v>1280.8</v>
      </c>
      <c r="K40" s="2">
        <v>68</v>
      </c>
      <c r="L40" s="2">
        <v>2970.6</v>
      </c>
      <c r="M40" s="2">
        <v>2264.1999999999998</v>
      </c>
      <c r="N40" s="2">
        <v>1280.8</v>
      </c>
      <c r="O40" s="2">
        <v>68</v>
      </c>
      <c r="P40" s="2">
        <v>10000</v>
      </c>
    </row>
    <row r="41" spans="1:16" ht="18.600000000000001" thickBot="1">
      <c r="A41" s="1">
        <v>46296</v>
      </c>
      <c r="B41" s="2" t="s">
        <v>12</v>
      </c>
      <c r="C41" s="2">
        <v>3519.1</v>
      </c>
      <c r="D41" s="2">
        <v>709.9</v>
      </c>
      <c r="E41" s="2">
        <v>0.1</v>
      </c>
      <c r="F41" s="2">
        <v>658.2</v>
      </c>
      <c r="G41" s="2">
        <v>10</v>
      </c>
      <c r="H41" s="2">
        <v>706.35</v>
      </c>
      <c r="I41" s="2">
        <v>0.1</v>
      </c>
      <c r="J41" s="2">
        <v>594.61</v>
      </c>
      <c r="K41" s="2">
        <v>10</v>
      </c>
      <c r="L41" s="2">
        <v>706.35</v>
      </c>
      <c r="M41" s="2">
        <v>0.1</v>
      </c>
      <c r="N41" s="2">
        <v>594.61</v>
      </c>
      <c r="O41" s="2">
        <v>10</v>
      </c>
      <c r="P41" s="2">
        <v>2670.1</v>
      </c>
    </row>
    <row r="42" spans="1:16" ht="18.600000000000001" thickBot="1">
      <c r="A42" s="1">
        <v>46296</v>
      </c>
      <c r="B42" s="2" t="s">
        <v>13</v>
      </c>
      <c r="C42" s="2">
        <v>6202.81</v>
      </c>
      <c r="D42" s="2">
        <v>1815.53</v>
      </c>
      <c r="E42" s="2">
        <v>812.54</v>
      </c>
      <c r="F42" s="2">
        <v>975.29</v>
      </c>
      <c r="G42" s="2">
        <v>27.7</v>
      </c>
      <c r="H42" s="2">
        <v>1191.74</v>
      </c>
      <c r="I42" s="2">
        <v>391.89</v>
      </c>
      <c r="J42" s="2">
        <v>774.64</v>
      </c>
      <c r="K42" s="2">
        <v>25.2</v>
      </c>
      <c r="L42" s="2">
        <v>1191.74</v>
      </c>
      <c r="M42" s="2">
        <v>391.89</v>
      </c>
      <c r="N42" s="2">
        <v>774.64</v>
      </c>
      <c r="O42" s="2">
        <v>25.2</v>
      </c>
      <c r="P42" s="2">
        <v>4905.3500000000004</v>
      </c>
    </row>
    <row r="43" spans="1:16" ht="18.600000000000001" thickBot="1">
      <c r="A43" s="1">
        <v>46327</v>
      </c>
      <c r="B43" s="2" t="s">
        <v>9</v>
      </c>
      <c r="C43" s="2">
        <v>130195.18</v>
      </c>
      <c r="D43" s="2">
        <v>40021.629999999997</v>
      </c>
      <c r="E43" s="2">
        <v>16794.18</v>
      </c>
      <c r="F43" s="2">
        <v>22403.55</v>
      </c>
      <c r="G43" s="2">
        <v>823.9</v>
      </c>
      <c r="H43" s="2">
        <v>25722.57</v>
      </c>
      <c r="I43" s="2">
        <v>8167.12</v>
      </c>
      <c r="J43" s="2">
        <v>16815.95</v>
      </c>
      <c r="K43" s="2">
        <v>739.5</v>
      </c>
      <c r="L43" s="2">
        <v>25722.57</v>
      </c>
      <c r="M43" s="2">
        <v>8167.12</v>
      </c>
      <c r="N43" s="2">
        <v>16815.95</v>
      </c>
      <c r="O43" s="2">
        <v>739.5</v>
      </c>
      <c r="P43" s="2" t="s">
        <v>10</v>
      </c>
    </row>
    <row r="44" spans="1:16" ht="18.600000000000001" thickBot="1">
      <c r="A44" s="1">
        <v>46327</v>
      </c>
      <c r="B44" s="2" t="s">
        <v>11</v>
      </c>
      <c r="C44" s="2">
        <v>9358</v>
      </c>
      <c r="D44" s="2">
        <v>2906.9</v>
      </c>
      <c r="E44" s="2">
        <v>2182.3000000000002</v>
      </c>
      <c r="F44" s="2">
        <v>1406.7</v>
      </c>
      <c r="G44" s="2">
        <v>178</v>
      </c>
      <c r="H44" s="2">
        <v>2570.6999999999998</v>
      </c>
      <c r="I44" s="2">
        <v>1913.7</v>
      </c>
      <c r="J44" s="2">
        <v>901.9</v>
      </c>
      <c r="K44" s="2">
        <v>178</v>
      </c>
      <c r="L44" s="2">
        <v>2570.6999999999998</v>
      </c>
      <c r="M44" s="2">
        <v>1913.7</v>
      </c>
      <c r="N44" s="2">
        <v>901.9</v>
      </c>
      <c r="O44" s="2">
        <v>178</v>
      </c>
      <c r="P44" s="2">
        <v>5353.38</v>
      </c>
    </row>
    <row r="45" spans="1:16" ht="18.600000000000001" thickBot="1">
      <c r="A45" s="1">
        <v>46327</v>
      </c>
      <c r="B45" s="2" t="s">
        <v>12</v>
      </c>
      <c r="C45" s="2">
        <v>3821.8</v>
      </c>
      <c r="D45" s="2">
        <v>858.4</v>
      </c>
      <c r="E45" s="2">
        <v>0.3</v>
      </c>
      <c r="F45" s="2">
        <v>661</v>
      </c>
      <c r="G45" s="2">
        <v>10</v>
      </c>
      <c r="H45" s="2">
        <v>682.1</v>
      </c>
      <c r="I45" s="2">
        <v>0.3</v>
      </c>
      <c r="J45" s="2">
        <v>588.6</v>
      </c>
      <c r="K45" s="2">
        <v>10</v>
      </c>
      <c r="L45" s="2">
        <v>682.1</v>
      </c>
      <c r="M45" s="2">
        <v>0.3</v>
      </c>
      <c r="N45" s="2">
        <v>588.6</v>
      </c>
      <c r="O45" s="2">
        <v>10</v>
      </c>
      <c r="P45" s="2">
        <v>2530.8200000000002</v>
      </c>
    </row>
    <row r="46" spans="1:16" ht="18.600000000000001" thickBot="1">
      <c r="A46" s="1">
        <v>46327</v>
      </c>
      <c r="B46" s="2" t="s">
        <v>13</v>
      </c>
      <c r="C46" s="2">
        <v>5424.8</v>
      </c>
      <c r="D46" s="2">
        <v>1667.57</v>
      </c>
      <c r="E46" s="2">
        <v>699.76</v>
      </c>
      <c r="F46" s="2">
        <v>933.48</v>
      </c>
      <c r="G46" s="2">
        <v>34.33</v>
      </c>
      <c r="H46" s="2">
        <v>1071.77</v>
      </c>
      <c r="I46" s="2">
        <v>340.3</v>
      </c>
      <c r="J46" s="2">
        <v>700.66</v>
      </c>
      <c r="K46" s="2">
        <v>30.81</v>
      </c>
      <c r="L46" s="2">
        <v>1071.77</v>
      </c>
      <c r="M46" s="2">
        <v>340.3</v>
      </c>
      <c r="N46" s="2">
        <v>700.66</v>
      </c>
      <c r="O46" s="2">
        <v>30.81</v>
      </c>
      <c r="P46" s="2">
        <v>3757.51</v>
      </c>
    </row>
    <row r="47" spans="1:16" ht="18.600000000000001" thickBot="1">
      <c r="A47" s="1">
        <v>46357</v>
      </c>
      <c r="B47" s="2" t="s">
        <v>9</v>
      </c>
      <c r="C47" s="2">
        <v>156154.4</v>
      </c>
      <c r="D47" s="2">
        <v>36791.03</v>
      </c>
      <c r="E47" s="2">
        <v>16519.2</v>
      </c>
      <c r="F47" s="2">
        <v>19668.13</v>
      </c>
      <c r="G47" s="2">
        <v>603.70000000000005</v>
      </c>
      <c r="H47" s="2">
        <v>31464.66</v>
      </c>
      <c r="I47" s="2">
        <v>13407.32</v>
      </c>
      <c r="J47" s="2">
        <v>17458.400000000001</v>
      </c>
      <c r="K47" s="2">
        <v>598.95000000000005</v>
      </c>
      <c r="L47" s="2">
        <v>31464.66</v>
      </c>
      <c r="M47" s="2">
        <v>13407.32</v>
      </c>
      <c r="N47" s="2">
        <v>17458.400000000001</v>
      </c>
      <c r="O47" s="2">
        <v>598.95000000000005</v>
      </c>
      <c r="P47" s="2" t="s">
        <v>10</v>
      </c>
    </row>
    <row r="48" spans="1:16" ht="18.600000000000001" thickBot="1">
      <c r="A48" s="1">
        <v>46357</v>
      </c>
      <c r="B48" s="2" t="s">
        <v>11</v>
      </c>
      <c r="C48" s="2">
        <v>12668.1</v>
      </c>
      <c r="D48" s="2">
        <v>2814.7</v>
      </c>
      <c r="E48" s="2">
        <v>2143.3000000000002</v>
      </c>
      <c r="F48" s="2">
        <v>1164.7</v>
      </c>
      <c r="G48" s="2">
        <v>108</v>
      </c>
      <c r="H48" s="2">
        <v>2739.1</v>
      </c>
      <c r="I48" s="2">
        <v>2081.6999999999998</v>
      </c>
      <c r="J48" s="2">
        <v>898.44</v>
      </c>
      <c r="K48" s="2">
        <v>108</v>
      </c>
      <c r="L48" s="2">
        <v>2739.1</v>
      </c>
      <c r="M48" s="2">
        <v>2081.6999999999998</v>
      </c>
      <c r="N48" s="2">
        <v>898.44</v>
      </c>
      <c r="O48" s="2">
        <v>108</v>
      </c>
      <c r="P48" s="2">
        <v>10000</v>
      </c>
    </row>
    <row r="49" spans="1:16" ht="18.600000000000001" thickBot="1">
      <c r="A49" s="1">
        <v>46357</v>
      </c>
      <c r="B49" s="2" t="s">
        <v>12</v>
      </c>
      <c r="C49" s="2">
        <v>3641.9</v>
      </c>
      <c r="D49" s="2">
        <v>592.70000000000005</v>
      </c>
      <c r="E49" s="2">
        <v>0.1</v>
      </c>
      <c r="F49" s="2">
        <v>530.70000000000005</v>
      </c>
      <c r="G49" s="2">
        <v>10</v>
      </c>
      <c r="H49" s="2">
        <v>592.70000000000005</v>
      </c>
      <c r="I49" s="2">
        <v>0.1</v>
      </c>
      <c r="J49" s="2">
        <v>530.70000000000005</v>
      </c>
      <c r="K49" s="2">
        <v>10</v>
      </c>
      <c r="L49" s="2">
        <v>592.70000000000005</v>
      </c>
      <c r="M49" s="2">
        <v>0.1</v>
      </c>
      <c r="N49" s="2">
        <v>530.70000000000005</v>
      </c>
      <c r="O49" s="2">
        <v>10</v>
      </c>
      <c r="P49" s="2">
        <v>2820.99</v>
      </c>
    </row>
    <row r="50" spans="1:16" ht="18.600000000000001" thickBot="1">
      <c r="A50" s="1">
        <v>46357</v>
      </c>
      <c r="B50" s="2" t="s">
        <v>13</v>
      </c>
      <c r="C50" s="2">
        <v>6506.43</v>
      </c>
      <c r="D50" s="2">
        <v>1532.96</v>
      </c>
      <c r="E50" s="2">
        <v>688.3</v>
      </c>
      <c r="F50" s="2">
        <v>819.51</v>
      </c>
      <c r="G50" s="2">
        <v>25.15</v>
      </c>
      <c r="H50" s="2">
        <v>1311.03</v>
      </c>
      <c r="I50" s="2">
        <v>558.64</v>
      </c>
      <c r="J50" s="2">
        <v>727.43</v>
      </c>
      <c r="K50" s="2">
        <v>24.96</v>
      </c>
      <c r="L50" s="2">
        <v>1311.03</v>
      </c>
      <c r="M50" s="2">
        <v>558.64</v>
      </c>
      <c r="N50" s="2">
        <v>727.43</v>
      </c>
      <c r="O50" s="2">
        <v>24.96</v>
      </c>
      <c r="P50" s="2">
        <v>5087.7700000000004</v>
      </c>
    </row>
    <row r="51" spans="1:16" ht="18.600000000000001" thickBot="1">
      <c r="A51" s="2" t="s">
        <v>14</v>
      </c>
      <c r="B51" s="2" t="s">
        <v>9</v>
      </c>
      <c r="C51" s="2">
        <v>164540.07999999999</v>
      </c>
      <c r="D51" s="2">
        <v>38435.230000000003</v>
      </c>
      <c r="E51" s="2">
        <v>20211.28</v>
      </c>
      <c r="F51" s="2">
        <v>17644</v>
      </c>
      <c r="G51" s="2">
        <v>579.95000000000005</v>
      </c>
      <c r="H51" s="2">
        <v>28928.14</v>
      </c>
      <c r="I51" s="2">
        <v>11508.18</v>
      </c>
      <c r="J51" s="2">
        <v>16874.509999999998</v>
      </c>
      <c r="K51" s="2">
        <v>545.45000000000005</v>
      </c>
      <c r="L51" s="2">
        <v>28928.14</v>
      </c>
      <c r="M51" s="2">
        <v>11508.18</v>
      </c>
      <c r="N51" s="2">
        <v>16874.509999999998</v>
      </c>
      <c r="O51" s="2">
        <v>545.45000000000005</v>
      </c>
      <c r="P51" s="2" t="s">
        <v>10</v>
      </c>
    </row>
    <row r="52" spans="1:16" ht="18.600000000000001" thickBot="1">
      <c r="A52" s="2" t="s">
        <v>14</v>
      </c>
      <c r="B52" s="2" t="s">
        <v>11</v>
      </c>
      <c r="C52" s="2">
        <v>13269.7</v>
      </c>
      <c r="D52" s="2">
        <v>3208.5</v>
      </c>
      <c r="E52" s="2">
        <v>2618.8000000000002</v>
      </c>
      <c r="F52" s="2">
        <v>953</v>
      </c>
      <c r="G52" s="2">
        <v>68</v>
      </c>
      <c r="H52" s="2">
        <v>3034.2</v>
      </c>
      <c r="I52" s="2">
        <v>2393.8000000000002</v>
      </c>
      <c r="J52" s="2">
        <v>934.6</v>
      </c>
      <c r="K52" s="2">
        <v>68</v>
      </c>
      <c r="L52" s="2">
        <v>3034.2</v>
      </c>
      <c r="M52" s="2">
        <v>2393.8000000000002</v>
      </c>
      <c r="N52" s="2">
        <v>934.6</v>
      </c>
      <c r="O52" s="2">
        <v>68</v>
      </c>
      <c r="P52" s="2">
        <v>10000</v>
      </c>
    </row>
    <row r="53" spans="1:16" ht="18.600000000000001" thickBot="1">
      <c r="A53" s="2" t="s">
        <v>14</v>
      </c>
      <c r="B53" s="2" t="s">
        <v>12</v>
      </c>
      <c r="C53" s="2">
        <v>4362.2</v>
      </c>
      <c r="D53" s="2">
        <v>590.4</v>
      </c>
      <c r="E53" s="2">
        <v>0.4</v>
      </c>
      <c r="F53" s="2">
        <v>516.1</v>
      </c>
      <c r="G53" s="2">
        <v>10</v>
      </c>
      <c r="H53" s="2">
        <v>590.39</v>
      </c>
      <c r="I53" s="2">
        <v>0.4</v>
      </c>
      <c r="J53" s="2">
        <v>515.66</v>
      </c>
      <c r="K53" s="2">
        <v>10</v>
      </c>
      <c r="L53" s="2">
        <v>590.39</v>
      </c>
      <c r="M53" s="2">
        <v>0.4</v>
      </c>
      <c r="N53" s="2">
        <v>515.66</v>
      </c>
      <c r="O53" s="2">
        <v>10</v>
      </c>
      <c r="P53" s="2">
        <v>2820.6</v>
      </c>
    </row>
    <row r="54" spans="1:16" ht="18.600000000000001" thickBot="1">
      <c r="A54" s="2" t="s">
        <v>14</v>
      </c>
      <c r="B54" s="2" t="s">
        <v>13</v>
      </c>
      <c r="C54" s="2">
        <v>6855.84</v>
      </c>
      <c r="D54" s="2">
        <v>1601.47</v>
      </c>
      <c r="E54" s="2">
        <v>842.14</v>
      </c>
      <c r="F54" s="2">
        <v>735.17</v>
      </c>
      <c r="G54" s="2">
        <v>24.16</v>
      </c>
      <c r="H54" s="2">
        <v>1205.3399999999999</v>
      </c>
      <c r="I54" s="2">
        <v>479.51</v>
      </c>
      <c r="J54" s="2">
        <v>703.1</v>
      </c>
      <c r="K54" s="2">
        <v>22.73</v>
      </c>
      <c r="L54" s="2">
        <v>1205.3399999999999</v>
      </c>
      <c r="M54" s="2">
        <v>479.51</v>
      </c>
      <c r="N54" s="2">
        <v>703.1</v>
      </c>
      <c r="O54" s="2">
        <v>22.73</v>
      </c>
      <c r="P54" s="2">
        <v>5275.32</v>
      </c>
    </row>
    <row r="55" spans="1:16" ht="18.600000000000001" thickBot="1">
      <c r="A55" s="2" t="s">
        <v>15</v>
      </c>
      <c r="B55" s="2" t="s">
        <v>9</v>
      </c>
      <c r="C55" s="2">
        <v>146965.38</v>
      </c>
      <c r="D55" s="2">
        <v>39504.75</v>
      </c>
      <c r="E55" s="2">
        <v>21888.53</v>
      </c>
      <c r="F55" s="2">
        <v>17045.080000000002</v>
      </c>
      <c r="G55" s="2">
        <v>571.15</v>
      </c>
      <c r="H55" s="2">
        <v>37010.199999999997</v>
      </c>
      <c r="I55" s="2">
        <v>19851</v>
      </c>
      <c r="J55" s="2">
        <v>16618.05</v>
      </c>
      <c r="K55" s="2">
        <v>541.15</v>
      </c>
      <c r="L55" s="2">
        <v>37010.199999999997</v>
      </c>
      <c r="M55" s="2">
        <v>19851</v>
      </c>
      <c r="N55" s="2">
        <v>16618.05</v>
      </c>
      <c r="O55" s="2">
        <v>541.15</v>
      </c>
      <c r="P55" s="2" t="s">
        <v>10</v>
      </c>
    </row>
    <row r="56" spans="1:16" ht="18.600000000000001" thickBot="1">
      <c r="A56" s="2" t="s">
        <v>15</v>
      </c>
      <c r="B56" s="2" t="s">
        <v>11</v>
      </c>
      <c r="C56" s="2">
        <v>9394.2000000000007</v>
      </c>
      <c r="D56" s="2">
        <v>3305.7</v>
      </c>
      <c r="E56" s="2">
        <v>2720.3</v>
      </c>
      <c r="F56" s="2">
        <v>943.1</v>
      </c>
      <c r="G56" s="2">
        <v>68</v>
      </c>
      <c r="H56" s="2">
        <v>3226.09</v>
      </c>
      <c r="I56" s="2">
        <v>2616.27</v>
      </c>
      <c r="J56" s="2">
        <v>920.8</v>
      </c>
      <c r="K56" s="2">
        <v>68</v>
      </c>
      <c r="L56" s="2">
        <v>3226.09</v>
      </c>
      <c r="M56" s="2">
        <v>2616.27</v>
      </c>
      <c r="N56" s="2">
        <v>920.8</v>
      </c>
      <c r="O56" s="2">
        <v>68</v>
      </c>
      <c r="P56" s="2">
        <v>10000</v>
      </c>
    </row>
    <row r="57" spans="1:16" ht="18.600000000000001" thickBot="1">
      <c r="A57" s="2" t="s">
        <v>15</v>
      </c>
      <c r="B57" s="2" t="s">
        <v>12</v>
      </c>
      <c r="C57" s="2">
        <v>3266.6</v>
      </c>
      <c r="D57" s="2">
        <v>542.9</v>
      </c>
      <c r="E57" s="2">
        <v>0.1</v>
      </c>
      <c r="F57" s="2">
        <v>495.9</v>
      </c>
      <c r="G57" s="2">
        <v>10</v>
      </c>
      <c r="H57" s="2">
        <v>542.89</v>
      </c>
      <c r="I57" s="2">
        <v>0.1</v>
      </c>
      <c r="J57" s="2">
        <v>493.49</v>
      </c>
      <c r="K57" s="2">
        <v>10</v>
      </c>
      <c r="L57" s="2">
        <v>542.89</v>
      </c>
      <c r="M57" s="2">
        <v>0.1</v>
      </c>
      <c r="N57" s="2">
        <v>493.49</v>
      </c>
      <c r="O57" s="2">
        <v>10</v>
      </c>
      <c r="P57" s="2">
        <v>3250.18</v>
      </c>
    </row>
    <row r="58" spans="1:16" ht="18.600000000000001" thickBot="1">
      <c r="A58" s="2" t="s">
        <v>15</v>
      </c>
      <c r="B58" s="2" t="s">
        <v>13</v>
      </c>
      <c r="C58" s="2">
        <v>6123.56</v>
      </c>
      <c r="D58" s="2">
        <v>1646.03</v>
      </c>
      <c r="E58" s="2">
        <v>912.02</v>
      </c>
      <c r="F58" s="2">
        <v>710.21</v>
      </c>
      <c r="G58" s="2">
        <v>23.8</v>
      </c>
      <c r="H58" s="2">
        <v>1542.09</v>
      </c>
      <c r="I58" s="2">
        <v>827.12</v>
      </c>
      <c r="J58" s="2">
        <v>692.42</v>
      </c>
      <c r="K58" s="2">
        <v>22.55</v>
      </c>
      <c r="L58" s="2">
        <v>1542.09</v>
      </c>
      <c r="M58" s="2">
        <v>827.12</v>
      </c>
      <c r="N58" s="2">
        <v>692.42</v>
      </c>
      <c r="O58" s="2">
        <v>22.55</v>
      </c>
      <c r="P58" s="2">
        <v>5413.82</v>
      </c>
    </row>
    <row r="59" spans="1:16" ht="18.600000000000001" thickBot="1">
      <c r="A59" s="2" t="s">
        <v>16</v>
      </c>
      <c r="B59" s="2" t="s">
        <v>9</v>
      </c>
      <c r="C59" s="2">
        <v>149692.75</v>
      </c>
      <c r="D59" s="2">
        <v>38867.1</v>
      </c>
      <c r="E59" s="2">
        <v>23632.400000000001</v>
      </c>
      <c r="F59" s="2">
        <v>14566.95</v>
      </c>
      <c r="G59" s="2">
        <v>667.75</v>
      </c>
      <c r="H59" s="2">
        <v>27510.62</v>
      </c>
      <c r="I59" s="2">
        <v>13074.91</v>
      </c>
      <c r="J59" s="2">
        <v>13775.47</v>
      </c>
      <c r="K59" s="2">
        <v>660.25</v>
      </c>
      <c r="L59" s="2">
        <v>27510.62</v>
      </c>
      <c r="M59" s="2">
        <v>13074.91</v>
      </c>
      <c r="N59" s="2">
        <v>13775.47</v>
      </c>
      <c r="O59" s="2">
        <v>660.25</v>
      </c>
      <c r="P59" s="2" t="s">
        <v>10</v>
      </c>
    </row>
    <row r="60" spans="1:16" ht="18.600000000000001" thickBot="1">
      <c r="A60" s="2" t="s">
        <v>16</v>
      </c>
      <c r="B60" s="2" t="s">
        <v>11</v>
      </c>
      <c r="C60" s="2">
        <v>9268.1</v>
      </c>
      <c r="D60" s="2">
        <v>3513.4</v>
      </c>
      <c r="E60" s="2">
        <v>3000.3</v>
      </c>
      <c r="F60" s="2">
        <v>752.6</v>
      </c>
      <c r="G60" s="2">
        <v>68</v>
      </c>
      <c r="H60" s="2">
        <v>3328.5</v>
      </c>
      <c r="I60" s="2">
        <v>2824.9</v>
      </c>
      <c r="J60" s="2">
        <v>739.7</v>
      </c>
      <c r="K60" s="2">
        <v>68</v>
      </c>
      <c r="L60" s="2">
        <v>3328.5</v>
      </c>
      <c r="M60" s="2">
        <v>2824.9</v>
      </c>
      <c r="N60" s="2">
        <v>739.7</v>
      </c>
      <c r="O60" s="2">
        <v>68</v>
      </c>
      <c r="P60" s="2">
        <v>10000</v>
      </c>
    </row>
    <row r="61" spans="1:16" ht="18.600000000000001" thickBot="1">
      <c r="A61" s="2" t="s">
        <v>16</v>
      </c>
      <c r="B61" s="2" t="s">
        <v>12</v>
      </c>
      <c r="C61" s="2">
        <v>3797</v>
      </c>
      <c r="D61" s="2">
        <v>610.79999999999995</v>
      </c>
      <c r="E61" s="2">
        <v>0.2</v>
      </c>
      <c r="F61" s="2">
        <v>453.1</v>
      </c>
      <c r="G61" s="2">
        <v>10</v>
      </c>
      <c r="H61" s="2">
        <v>528.69000000000005</v>
      </c>
      <c r="I61" s="2">
        <v>0.2</v>
      </c>
      <c r="J61" s="2">
        <v>412.79</v>
      </c>
      <c r="K61" s="2">
        <v>10</v>
      </c>
      <c r="L61" s="2">
        <v>528.69000000000005</v>
      </c>
      <c r="M61" s="2">
        <v>0.2</v>
      </c>
      <c r="N61" s="2">
        <v>412.79</v>
      </c>
      <c r="O61" s="2">
        <v>10</v>
      </c>
      <c r="P61" s="2">
        <v>3060.78</v>
      </c>
    </row>
    <row r="62" spans="1:16" ht="18.600000000000001" thickBot="1">
      <c r="A62" s="2" t="s">
        <v>16</v>
      </c>
      <c r="B62" s="2" t="s">
        <v>13</v>
      </c>
      <c r="C62" s="2">
        <v>6237.2</v>
      </c>
      <c r="D62" s="2">
        <v>1619.46</v>
      </c>
      <c r="E62" s="2">
        <v>984.68</v>
      </c>
      <c r="F62" s="2">
        <v>606.96</v>
      </c>
      <c r="G62" s="2">
        <v>27.82</v>
      </c>
      <c r="H62" s="2">
        <v>1146.28</v>
      </c>
      <c r="I62" s="2">
        <v>544.79</v>
      </c>
      <c r="J62" s="2">
        <v>573.98</v>
      </c>
      <c r="K62" s="2">
        <v>27.51</v>
      </c>
      <c r="L62" s="2">
        <v>1146.28</v>
      </c>
      <c r="M62" s="2">
        <v>544.79</v>
      </c>
      <c r="N62" s="2">
        <v>573.98</v>
      </c>
      <c r="O62" s="2">
        <v>27.51</v>
      </c>
      <c r="P62" s="2">
        <v>5272.55</v>
      </c>
    </row>
    <row r="63" spans="1:16" ht="18.600000000000001" thickBot="1">
      <c r="A63" s="2" t="s">
        <v>17</v>
      </c>
      <c r="B63" s="2" t="s">
        <v>9</v>
      </c>
      <c r="C63" s="2">
        <v>137098.03</v>
      </c>
      <c r="D63" s="2">
        <v>39753.4</v>
      </c>
      <c r="E63" s="2">
        <v>23441.58</v>
      </c>
      <c r="F63" s="2">
        <v>15559.08</v>
      </c>
      <c r="G63" s="2">
        <v>752.75</v>
      </c>
      <c r="H63" s="2">
        <v>23767.919999999998</v>
      </c>
      <c r="I63" s="2">
        <v>9379.93</v>
      </c>
      <c r="J63" s="2">
        <v>13655.25</v>
      </c>
      <c r="K63" s="2">
        <v>732.75</v>
      </c>
      <c r="L63" s="2">
        <v>23767.919999999998</v>
      </c>
      <c r="M63" s="2">
        <v>9379.93</v>
      </c>
      <c r="N63" s="2">
        <v>13655.25</v>
      </c>
      <c r="O63" s="2">
        <v>732.75</v>
      </c>
      <c r="P63" s="2" t="s">
        <v>10</v>
      </c>
    </row>
    <row r="64" spans="1:16" ht="18.600000000000001" thickBot="1">
      <c r="A64" s="2" t="s">
        <v>17</v>
      </c>
      <c r="B64" s="2" t="s">
        <v>11</v>
      </c>
      <c r="C64" s="2">
        <v>9170.1</v>
      </c>
      <c r="D64" s="2">
        <v>3565.3</v>
      </c>
      <c r="E64" s="2">
        <v>2985.8</v>
      </c>
      <c r="F64" s="2">
        <v>778.3</v>
      </c>
      <c r="G64" s="2">
        <v>68</v>
      </c>
      <c r="H64" s="2">
        <v>1790.7</v>
      </c>
      <c r="I64" s="2">
        <v>1273.4000000000001</v>
      </c>
      <c r="J64" s="2">
        <v>778.3</v>
      </c>
      <c r="K64" s="2">
        <v>68</v>
      </c>
      <c r="L64" s="2">
        <v>1790.7</v>
      </c>
      <c r="M64" s="2">
        <v>1273.4000000000001</v>
      </c>
      <c r="N64" s="2">
        <v>778.3</v>
      </c>
      <c r="O64" s="2">
        <v>68</v>
      </c>
      <c r="P64" s="2">
        <v>10000</v>
      </c>
    </row>
    <row r="65" spans="1:16" ht="18.600000000000001" thickBot="1">
      <c r="A65" s="2" t="s">
        <v>17</v>
      </c>
      <c r="B65" s="2" t="s">
        <v>12</v>
      </c>
      <c r="C65" s="2">
        <v>3915.9</v>
      </c>
      <c r="D65" s="2">
        <v>692</v>
      </c>
      <c r="E65" s="2">
        <v>0.5</v>
      </c>
      <c r="F65" s="2">
        <v>539.79999999999995</v>
      </c>
      <c r="G65" s="2">
        <v>10</v>
      </c>
      <c r="H65" s="2">
        <v>550.1</v>
      </c>
      <c r="I65" s="2">
        <v>0.5</v>
      </c>
      <c r="J65" s="2">
        <v>475.8</v>
      </c>
      <c r="K65" s="2">
        <v>10</v>
      </c>
      <c r="L65" s="2">
        <v>550.1</v>
      </c>
      <c r="M65" s="2">
        <v>0.5</v>
      </c>
      <c r="N65" s="2">
        <v>475.8</v>
      </c>
      <c r="O65" s="2">
        <v>10</v>
      </c>
      <c r="P65" s="2">
        <v>2350.42</v>
      </c>
    </row>
    <row r="66" spans="1:16" ht="18.600000000000001" thickBot="1">
      <c r="A66" s="2" t="s">
        <v>17</v>
      </c>
      <c r="B66" s="2" t="s">
        <v>13</v>
      </c>
      <c r="C66" s="2">
        <v>5712.42</v>
      </c>
      <c r="D66" s="2">
        <v>1656.39</v>
      </c>
      <c r="E66" s="2">
        <v>976.73</v>
      </c>
      <c r="F66" s="2">
        <v>648.29</v>
      </c>
      <c r="G66" s="2">
        <v>31.36</v>
      </c>
      <c r="H66" s="2">
        <v>990.33</v>
      </c>
      <c r="I66" s="2">
        <v>390.83</v>
      </c>
      <c r="J66" s="2">
        <v>568.97</v>
      </c>
      <c r="K66" s="2">
        <v>30.53</v>
      </c>
      <c r="L66" s="2">
        <v>990.33</v>
      </c>
      <c r="M66" s="2">
        <v>390.83</v>
      </c>
      <c r="N66" s="2">
        <v>568.97</v>
      </c>
      <c r="O66" s="2">
        <v>30.53</v>
      </c>
      <c r="P66" s="2">
        <v>5016.45</v>
      </c>
    </row>
    <row r="67" spans="1:16" ht="18.600000000000001" thickBot="1">
      <c r="A67" s="2" t="s">
        <v>18</v>
      </c>
      <c r="B67" s="2" t="s">
        <v>9</v>
      </c>
      <c r="C67" s="2">
        <v>129332.15</v>
      </c>
      <c r="D67" s="2">
        <v>41106.5</v>
      </c>
      <c r="E67" s="2">
        <v>23124.400000000001</v>
      </c>
      <c r="F67" s="2">
        <v>17277.849999999999</v>
      </c>
      <c r="G67" s="2">
        <v>704.25</v>
      </c>
      <c r="H67" s="2">
        <v>23957.55</v>
      </c>
      <c r="I67" s="2">
        <v>8986.98</v>
      </c>
      <c r="J67" s="2">
        <v>14310.58</v>
      </c>
      <c r="K67" s="2">
        <v>660</v>
      </c>
      <c r="L67" s="2">
        <v>23957.55</v>
      </c>
      <c r="M67" s="2">
        <v>8986.98</v>
      </c>
      <c r="N67" s="2">
        <v>14310.58</v>
      </c>
      <c r="O67" s="2">
        <v>660</v>
      </c>
      <c r="P67" s="2" t="s">
        <v>10</v>
      </c>
    </row>
    <row r="68" spans="1:16" ht="18.600000000000001" thickBot="1">
      <c r="A68" s="2" t="s">
        <v>18</v>
      </c>
      <c r="B68" s="2" t="s">
        <v>11</v>
      </c>
      <c r="C68" s="2">
        <v>8103.2</v>
      </c>
      <c r="D68" s="2">
        <v>3602.4</v>
      </c>
      <c r="E68" s="2">
        <v>2984.4</v>
      </c>
      <c r="F68" s="2">
        <v>1066.5999999999999</v>
      </c>
      <c r="G68" s="2">
        <v>98</v>
      </c>
      <c r="H68" s="2">
        <v>3055.9</v>
      </c>
      <c r="I68" s="2">
        <v>2445.3000000000002</v>
      </c>
      <c r="J68" s="2">
        <v>1041</v>
      </c>
      <c r="K68" s="2">
        <v>98</v>
      </c>
      <c r="L68" s="2">
        <v>3055.9</v>
      </c>
      <c r="M68" s="2">
        <v>2445.3000000000002</v>
      </c>
      <c r="N68" s="2">
        <v>1041</v>
      </c>
      <c r="O68" s="2">
        <v>98</v>
      </c>
      <c r="P68" s="2">
        <v>10000</v>
      </c>
    </row>
    <row r="69" spans="1:16" ht="18.600000000000001" thickBot="1">
      <c r="A69" s="2" t="s">
        <v>18</v>
      </c>
      <c r="B69" s="2" t="s">
        <v>12</v>
      </c>
      <c r="C69" s="2">
        <v>3717.8</v>
      </c>
      <c r="D69" s="2">
        <v>630.9</v>
      </c>
      <c r="E69" s="2">
        <v>0.2</v>
      </c>
      <c r="F69" s="2">
        <v>597.9</v>
      </c>
      <c r="G69" s="2">
        <v>9.5</v>
      </c>
      <c r="H69" s="2">
        <v>560.6</v>
      </c>
      <c r="I69" s="2">
        <v>0.2</v>
      </c>
      <c r="J69" s="2">
        <v>507.49</v>
      </c>
      <c r="K69" s="2">
        <v>9.5</v>
      </c>
      <c r="L69" s="2">
        <v>560.6</v>
      </c>
      <c r="M69" s="2">
        <v>0.2</v>
      </c>
      <c r="N69" s="2">
        <v>507.49</v>
      </c>
      <c r="O69" s="2">
        <v>9.5</v>
      </c>
      <c r="P69" s="2">
        <v>2050.5</v>
      </c>
    </row>
    <row r="70" spans="1:16" ht="18.600000000000001" thickBot="1">
      <c r="A70" s="2" t="s">
        <v>18</v>
      </c>
      <c r="B70" s="2" t="s">
        <v>13</v>
      </c>
      <c r="C70" s="2">
        <v>5388.84</v>
      </c>
      <c r="D70" s="2">
        <v>1712.77</v>
      </c>
      <c r="E70" s="2">
        <v>963.52</v>
      </c>
      <c r="F70" s="2">
        <v>719.91</v>
      </c>
      <c r="G70" s="2">
        <v>29.34</v>
      </c>
      <c r="H70" s="2">
        <v>998.23</v>
      </c>
      <c r="I70" s="2">
        <v>374.46</v>
      </c>
      <c r="J70" s="2">
        <v>596.27</v>
      </c>
      <c r="K70" s="2">
        <v>27.5</v>
      </c>
      <c r="L70" s="2">
        <v>998.23</v>
      </c>
      <c r="M70" s="2">
        <v>374.46</v>
      </c>
      <c r="N70" s="2">
        <v>596.27</v>
      </c>
      <c r="O70" s="2">
        <v>27.5</v>
      </c>
      <c r="P70" s="2">
        <v>4594.34</v>
      </c>
    </row>
    <row r="71" spans="1:16" ht="18.600000000000001" thickBot="1">
      <c r="A71" s="2" t="s">
        <v>19</v>
      </c>
      <c r="B71" s="2" t="s">
        <v>9</v>
      </c>
      <c r="C71" s="2">
        <v>111961.25</v>
      </c>
      <c r="D71" s="2">
        <v>39861.279999999999</v>
      </c>
      <c r="E71" s="2">
        <v>22058.35</v>
      </c>
      <c r="F71" s="2">
        <v>16948.13</v>
      </c>
      <c r="G71" s="2">
        <v>854.8</v>
      </c>
      <c r="H71" s="2">
        <v>28951.65</v>
      </c>
      <c r="I71" s="2">
        <v>13620.56</v>
      </c>
      <c r="J71" s="2">
        <v>14534.88</v>
      </c>
      <c r="K71" s="2">
        <v>796.21</v>
      </c>
      <c r="L71" s="2">
        <v>28951.65</v>
      </c>
      <c r="M71" s="2">
        <v>13620.56</v>
      </c>
      <c r="N71" s="2">
        <v>14534.88</v>
      </c>
      <c r="O71" s="2">
        <v>796.21</v>
      </c>
      <c r="P71" s="2" t="s">
        <v>10</v>
      </c>
    </row>
    <row r="72" spans="1:16" ht="18.600000000000001" thickBot="1">
      <c r="A72" s="2" t="s">
        <v>19</v>
      </c>
      <c r="B72" s="2" t="s">
        <v>11</v>
      </c>
      <c r="C72" s="2">
        <v>6423.2</v>
      </c>
      <c r="D72" s="2">
        <v>3587.3</v>
      </c>
      <c r="E72" s="2">
        <v>2978.7</v>
      </c>
      <c r="F72" s="2">
        <v>867</v>
      </c>
      <c r="G72" s="2">
        <v>158</v>
      </c>
      <c r="H72" s="2">
        <v>2967.2</v>
      </c>
      <c r="I72" s="2">
        <v>2367.6999999999998</v>
      </c>
      <c r="J72" s="2">
        <v>799.5</v>
      </c>
      <c r="K72" s="2">
        <v>158</v>
      </c>
      <c r="L72" s="2">
        <v>2967.2</v>
      </c>
      <c r="M72" s="2">
        <v>2367.6999999999998</v>
      </c>
      <c r="N72" s="2">
        <v>799.5</v>
      </c>
      <c r="O72" s="2">
        <v>158</v>
      </c>
      <c r="P72" s="2">
        <v>5450.57</v>
      </c>
    </row>
    <row r="73" spans="1:16" ht="18.600000000000001" thickBot="1">
      <c r="A73" s="2" t="s">
        <v>19</v>
      </c>
      <c r="B73" s="2" t="s">
        <v>12</v>
      </c>
      <c r="C73" s="2">
        <v>3370.9</v>
      </c>
      <c r="D73" s="2">
        <v>743.5</v>
      </c>
      <c r="E73" s="2">
        <v>0.1</v>
      </c>
      <c r="F73" s="2">
        <v>533.70000000000005</v>
      </c>
      <c r="G73" s="2">
        <v>9.5</v>
      </c>
      <c r="H73" s="2">
        <v>592.16</v>
      </c>
      <c r="I73" s="2">
        <v>0.1</v>
      </c>
      <c r="J73" s="2">
        <v>505.6</v>
      </c>
      <c r="K73" s="2">
        <v>9.5</v>
      </c>
      <c r="L73" s="2">
        <v>592.16</v>
      </c>
      <c r="M73" s="2">
        <v>0.1</v>
      </c>
      <c r="N73" s="2">
        <v>505.6</v>
      </c>
      <c r="O73" s="2">
        <v>9.5</v>
      </c>
      <c r="P73" s="2">
        <v>1799.67</v>
      </c>
    </row>
    <row r="74" spans="1:16" ht="18.600000000000001" thickBot="1">
      <c r="A74" s="2" t="s">
        <v>19</v>
      </c>
      <c r="B74" s="2" t="s">
        <v>13</v>
      </c>
      <c r="C74" s="2">
        <v>4665.05</v>
      </c>
      <c r="D74" s="2">
        <v>1660.89</v>
      </c>
      <c r="E74" s="2">
        <v>919.1</v>
      </c>
      <c r="F74" s="2">
        <v>706.17</v>
      </c>
      <c r="G74" s="2">
        <v>35.619999999999997</v>
      </c>
      <c r="H74" s="2">
        <v>1206.32</v>
      </c>
      <c r="I74" s="2">
        <v>567.52</v>
      </c>
      <c r="J74" s="2">
        <v>605.62</v>
      </c>
      <c r="K74" s="2">
        <v>33.18</v>
      </c>
      <c r="L74" s="2">
        <v>1206.32</v>
      </c>
      <c r="M74" s="2">
        <v>567.52</v>
      </c>
      <c r="N74" s="2">
        <v>605.62</v>
      </c>
      <c r="O74" s="2">
        <v>33.18</v>
      </c>
      <c r="P74" s="2">
        <v>3445.38</v>
      </c>
    </row>
    <row r="75" spans="1:16" ht="18.600000000000001" thickBot="1">
      <c r="A75" s="2" t="s">
        <v>20</v>
      </c>
      <c r="B75" s="2" t="s">
        <v>9</v>
      </c>
      <c r="C75" s="2">
        <v>134711.75</v>
      </c>
      <c r="D75" s="2">
        <v>36992.9</v>
      </c>
      <c r="E75" s="2">
        <v>21006.68</v>
      </c>
      <c r="F75" s="2">
        <v>15260.43</v>
      </c>
      <c r="G75" s="2">
        <v>725.8</v>
      </c>
      <c r="H75" s="2">
        <v>21628.3</v>
      </c>
      <c r="I75" s="2">
        <v>7514.83</v>
      </c>
      <c r="J75" s="2">
        <v>13468.99</v>
      </c>
      <c r="K75" s="2">
        <v>644.48</v>
      </c>
      <c r="L75" s="2">
        <v>21628.3</v>
      </c>
      <c r="M75" s="2">
        <v>7514.83</v>
      </c>
      <c r="N75" s="2">
        <v>13468.99</v>
      </c>
      <c r="O75" s="2">
        <v>644.48</v>
      </c>
      <c r="P75" s="2" t="s">
        <v>10</v>
      </c>
    </row>
    <row r="76" spans="1:16" ht="18.600000000000001" thickBot="1">
      <c r="A76" s="2" t="s">
        <v>20</v>
      </c>
      <c r="B76" s="2" t="s">
        <v>11</v>
      </c>
      <c r="C76" s="2">
        <v>8041.2</v>
      </c>
      <c r="D76" s="2">
        <v>3411.3</v>
      </c>
      <c r="E76" s="2">
        <v>2833.1</v>
      </c>
      <c r="F76" s="2">
        <v>733.2</v>
      </c>
      <c r="G76" s="2">
        <v>68</v>
      </c>
      <c r="H76" s="2">
        <v>1904.2</v>
      </c>
      <c r="I76" s="2">
        <v>1361.02</v>
      </c>
      <c r="J76" s="2">
        <v>679.9</v>
      </c>
      <c r="K76" s="2">
        <v>68</v>
      </c>
      <c r="L76" s="2">
        <v>1904.2</v>
      </c>
      <c r="M76" s="2">
        <v>1361.02</v>
      </c>
      <c r="N76" s="2">
        <v>679.9</v>
      </c>
      <c r="O76" s="2">
        <v>68</v>
      </c>
      <c r="P76" s="2">
        <v>10000</v>
      </c>
    </row>
    <row r="77" spans="1:16" ht="18.600000000000001" thickBot="1">
      <c r="A77" s="2" t="s">
        <v>20</v>
      </c>
      <c r="B77" s="2" t="s">
        <v>12</v>
      </c>
      <c r="C77" s="2">
        <v>3886.8</v>
      </c>
      <c r="D77" s="2">
        <v>600</v>
      </c>
      <c r="E77" s="2">
        <v>0.1</v>
      </c>
      <c r="F77" s="2">
        <v>553.1</v>
      </c>
      <c r="G77" s="2">
        <v>9.5</v>
      </c>
      <c r="H77" s="2">
        <v>534.1</v>
      </c>
      <c r="I77" s="2">
        <v>0.1</v>
      </c>
      <c r="J77" s="2">
        <v>463.2</v>
      </c>
      <c r="K77" s="2">
        <v>9.5</v>
      </c>
      <c r="L77" s="2">
        <v>534.1</v>
      </c>
      <c r="M77" s="2">
        <v>0.1</v>
      </c>
      <c r="N77" s="2">
        <v>463.2</v>
      </c>
      <c r="O77" s="2">
        <v>9.5</v>
      </c>
      <c r="P77" s="2">
        <v>2300.4499999999998</v>
      </c>
    </row>
    <row r="78" spans="1:16" ht="18.600000000000001" thickBot="1">
      <c r="A78" s="2" t="s">
        <v>20</v>
      </c>
      <c r="B78" s="2" t="s">
        <v>13</v>
      </c>
      <c r="C78" s="2">
        <v>5612.99</v>
      </c>
      <c r="D78" s="2">
        <v>1541.37</v>
      </c>
      <c r="E78" s="2">
        <v>875.28</v>
      </c>
      <c r="F78" s="2">
        <v>635.85</v>
      </c>
      <c r="G78" s="2">
        <v>30.24</v>
      </c>
      <c r="H78" s="2">
        <v>901.18</v>
      </c>
      <c r="I78" s="2">
        <v>313.12</v>
      </c>
      <c r="J78" s="2">
        <v>561.21</v>
      </c>
      <c r="K78" s="2">
        <v>26.85</v>
      </c>
      <c r="L78" s="2">
        <v>901.18</v>
      </c>
      <c r="M78" s="2">
        <v>313.12</v>
      </c>
      <c r="N78" s="2">
        <v>561.21</v>
      </c>
      <c r="O78" s="2">
        <v>26.85</v>
      </c>
      <c r="P78" s="2">
        <v>4342.8100000000004</v>
      </c>
    </row>
    <row r="79" spans="1:16" ht="18.600000000000001" thickBot="1">
      <c r="A79" s="2" t="s">
        <v>21</v>
      </c>
      <c r="B79" s="2" t="s">
        <v>9</v>
      </c>
      <c r="C79" s="2">
        <v>128366.1</v>
      </c>
      <c r="D79" s="2">
        <v>36830.379999999997</v>
      </c>
      <c r="E79" s="2">
        <v>20508.95</v>
      </c>
      <c r="F79" s="2">
        <v>15631.38</v>
      </c>
      <c r="G79" s="2">
        <v>690.05</v>
      </c>
      <c r="H79" s="2">
        <v>27366.7</v>
      </c>
      <c r="I79" s="2">
        <v>12896.64</v>
      </c>
      <c r="J79" s="2">
        <v>13808.38</v>
      </c>
      <c r="K79" s="2">
        <v>661.68</v>
      </c>
      <c r="L79" s="2">
        <v>27366.7</v>
      </c>
      <c r="M79" s="2">
        <v>12896.64</v>
      </c>
      <c r="N79" s="2">
        <v>13808.38</v>
      </c>
      <c r="O79" s="2">
        <v>661.68</v>
      </c>
      <c r="P79" s="2" t="s">
        <v>10</v>
      </c>
    </row>
    <row r="80" spans="1:16" ht="18.600000000000001" thickBot="1">
      <c r="A80" s="2" t="s">
        <v>21</v>
      </c>
      <c r="B80" s="2" t="s">
        <v>11</v>
      </c>
      <c r="C80" s="2">
        <v>8952</v>
      </c>
      <c r="D80" s="2">
        <v>3469.2</v>
      </c>
      <c r="E80" s="2">
        <v>2864</v>
      </c>
      <c r="F80" s="2">
        <v>748.2</v>
      </c>
      <c r="G80" s="2">
        <v>91.5</v>
      </c>
      <c r="H80" s="2">
        <v>3247.1</v>
      </c>
      <c r="I80" s="2">
        <v>2636.3</v>
      </c>
      <c r="J80" s="2">
        <v>647.9</v>
      </c>
      <c r="K80" s="2">
        <v>91.5</v>
      </c>
      <c r="L80" s="2">
        <v>3247.1</v>
      </c>
      <c r="M80" s="2">
        <v>2636.3</v>
      </c>
      <c r="N80" s="2">
        <v>647.9</v>
      </c>
      <c r="O80" s="2">
        <v>91.5</v>
      </c>
      <c r="P80" s="2">
        <v>10000</v>
      </c>
    </row>
    <row r="81" spans="1:16" ht="18.600000000000001" thickBot="1">
      <c r="A81" s="2" t="s">
        <v>21</v>
      </c>
      <c r="B81" s="2" t="s">
        <v>12</v>
      </c>
      <c r="C81" s="2">
        <v>3445.5</v>
      </c>
      <c r="D81" s="2">
        <v>626.4</v>
      </c>
      <c r="E81" s="2">
        <v>0.1</v>
      </c>
      <c r="F81" s="2">
        <v>520.79999999999995</v>
      </c>
      <c r="G81" s="2">
        <v>9.5</v>
      </c>
      <c r="H81" s="2">
        <v>563.4</v>
      </c>
      <c r="I81" s="2">
        <v>0.1</v>
      </c>
      <c r="J81" s="2">
        <v>489.18</v>
      </c>
      <c r="K81" s="2">
        <v>9.5</v>
      </c>
      <c r="L81" s="2">
        <v>563.4</v>
      </c>
      <c r="M81" s="2">
        <v>0.1</v>
      </c>
      <c r="N81" s="2">
        <v>489.18</v>
      </c>
      <c r="O81" s="2">
        <v>9.5</v>
      </c>
      <c r="P81" s="2">
        <v>2200.79</v>
      </c>
    </row>
    <row r="82" spans="1:16" ht="18.600000000000001" thickBot="1">
      <c r="A82" s="2" t="s">
        <v>21</v>
      </c>
      <c r="B82" s="2" t="s">
        <v>13</v>
      </c>
      <c r="C82" s="2">
        <v>5348.59</v>
      </c>
      <c r="D82" s="2">
        <v>1534.6</v>
      </c>
      <c r="E82" s="2">
        <v>854.54</v>
      </c>
      <c r="F82" s="2">
        <v>651.30999999999995</v>
      </c>
      <c r="G82" s="2">
        <v>28.75</v>
      </c>
      <c r="H82" s="2">
        <v>1140.28</v>
      </c>
      <c r="I82" s="2">
        <v>537.36</v>
      </c>
      <c r="J82" s="2">
        <v>575.35</v>
      </c>
      <c r="K82" s="2">
        <v>27.57</v>
      </c>
      <c r="L82" s="2">
        <v>1140.28</v>
      </c>
      <c r="M82" s="2">
        <v>537.36</v>
      </c>
      <c r="N82" s="2">
        <v>575.35</v>
      </c>
      <c r="O82" s="2">
        <v>27.57</v>
      </c>
      <c r="P82" s="2">
        <v>4467.9399999999996</v>
      </c>
    </row>
    <row r="83" spans="1:16" ht="18.600000000000001" thickBot="1">
      <c r="A83" s="2" t="s">
        <v>22</v>
      </c>
      <c r="B83" s="2" t="s">
        <v>9</v>
      </c>
      <c r="C83" s="2">
        <v>134357.48000000001</v>
      </c>
      <c r="D83" s="2">
        <v>33798.080000000002</v>
      </c>
      <c r="E83" s="2">
        <v>17227.53</v>
      </c>
      <c r="F83" s="2">
        <v>15969.63</v>
      </c>
      <c r="G83" s="2">
        <v>600.92999999999995</v>
      </c>
      <c r="H83" s="2">
        <v>24973.24</v>
      </c>
      <c r="I83" s="2">
        <v>9770.5400000000009</v>
      </c>
      <c r="J83" s="2">
        <v>14639.28</v>
      </c>
      <c r="K83" s="2">
        <v>563.42999999999995</v>
      </c>
      <c r="L83" s="2">
        <v>24973.24</v>
      </c>
      <c r="M83" s="2">
        <v>9770.5400000000009</v>
      </c>
      <c r="N83" s="2">
        <v>14639.28</v>
      </c>
      <c r="O83" s="2">
        <v>563.42999999999995</v>
      </c>
      <c r="P83" s="2" t="s">
        <v>10</v>
      </c>
    </row>
    <row r="84" spans="1:16" ht="18.600000000000001" thickBot="1">
      <c r="A84" s="2" t="s">
        <v>22</v>
      </c>
      <c r="B84" s="2" t="s">
        <v>11</v>
      </c>
      <c r="C84" s="2">
        <v>8472.5</v>
      </c>
      <c r="D84" s="2">
        <v>2977.1</v>
      </c>
      <c r="E84" s="2">
        <v>2346.5</v>
      </c>
      <c r="F84" s="2">
        <v>807</v>
      </c>
      <c r="G84" s="2">
        <v>65.3</v>
      </c>
      <c r="H84" s="2">
        <v>2901.2</v>
      </c>
      <c r="I84" s="2">
        <v>2256</v>
      </c>
      <c r="J84" s="2">
        <v>728.4</v>
      </c>
      <c r="K84" s="2">
        <v>65.3</v>
      </c>
      <c r="L84" s="2">
        <v>2901.2</v>
      </c>
      <c r="M84" s="2">
        <v>2256</v>
      </c>
      <c r="N84" s="2">
        <v>728.4</v>
      </c>
      <c r="O84" s="2">
        <v>65.3</v>
      </c>
      <c r="P84" s="2">
        <v>10000</v>
      </c>
    </row>
    <row r="85" spans="1:16" ht="18.600000000000001" thickBot="1">
      <c r="A85" s="2" t="s">
        <v>22</v>
      </c>
      <c r="B85" s="2" t="s">
        <v>12</v>
      </c>
      <c r="C85" s="2">
        <v>3593.9</v>
      </c>
      <c r="D85" s="2">
        <v>620.6</v>
      </c>
      <c r="E85" s="2">
        <v>0.1</v>
      </c>
      <c r="F85" s="2">
        <v>565</v>
      </c>
      <c r="G85" s="2">
        <v>9.5</v>
      </c>
      <c r="H85" s="2">
        <v>604.5</v>
      </c>
      <c r="I85" s="2">
        <v>0.1</v>
      </c>
      <c r="J85" s="2">
        <v>504.05</v>
      </c>
      <c r="K85" s="2">
        <v>9.5</v>
      </c>
      <c r="L85" s="2">
        <v>604.5</v>
      </c>
      <c r="M85" s="2">
        <v>0.1</v>
      </c>
      <c r="N85" s="2">
        <v>504.05</v>
      </c>
      <c r="O85" s="2">
        <v>9.5</v>
      </c>
      <c r="P85" s="2">
        <v>2350.27</v>
      </c>
    </row>
    <row r="86" spans="1:16" ht="18.600000000000001" thickBot="1">
      <c r="A86" s="2" t="s">
        <v>22</v>
      </c>
      <c r="B86" s="2" t="s">
        <v>13</v>
      </c>
      <c r="C86" s="2">
        <v>5598.23</v>
      </c>
      <c r="D86" s="2">
        <v>1408.25</v>
      </c>
      <c r="E86" s="2">
        <v>717.81</v>
      </c>
      <c r="F86" s="2">
        <v>665.4</v>
      </c>
      <c r="G86" s="2">
        <v>25.04</v>
      </c>
      <c r="H86" s="2">
        <v>1040.55</v>
      </c>
      <c r="I86" s="2">
        <v>407.11</v>
      </c>
      <c r="J86" s="2">
        <v>609.97</v>
      </c>
      <c r="K86" s="2">
        <v>23.48</v>
      </c>
      <c r="L86" s="2">
        <v>1040.55</v>
      </c>
      <c r="M86" s="2">
        <v>407.11</v>
      </c>
      <c r="N86" s="2">
        <v>609.97</v>
      </c>
      <c r="O86" s="2">
        <v>23.48</v>
      </c>
      <c r="P86" s="2">
        <v>4549.42</v>
      </c>
    </row>
    <row r="87" spans="1:16" ht="18.600000000000001" thickBot="1">
      <c r="A87" s="2" t="s">
        <v>23</v>
      </c>
      <c r="B87" s="2" t="s">
        <v>9</v>
      </c>
      <c r="C87" s="2">
        <v>117115.1</v>
      </c>
      <c r="D87" s="2">
        <v>38385.480000000003</v>
      </c>
      <c r="E87" s="2">
        <v>20140.900000000001</v>
      </c>
      <c r="F87" s="2">
        <v>17701.13</v>
      </c>
      <c r="G87" s="2">
        <v>543.45000000000005</v>
      </c>
      <c r="H87" s="2">
        <v>22975.56</v>
      </c>
      <c r="I87" s="2">
        <v>6878.99</v>
      </c>
      <c r="J87" s="2">
        <v>15585.26</v>
      </c>
      <c r="K87" s="2">
        <v>511.32</v>
      </c>
      <c r="L87" s="2">
        <v>22975.56</v>
      </c>
      <c r="M87" s="2">
        <v>6878.99</v>
      </c>
      <c r="N87" s="2">
        <v>15585.26</v>
      </c>
      <c r="O87" s="2">
        <v>511.32</v>
      </c>
      <c r="P87" s="2" t="s">
        <v>10</v>
      </c>
    </row>
    <row r="88" spans="1:16" ht="18.600000000000001" thickBot="1">
      <c r="A88" s="2" t="s">
        <v>23</v>
      </c>
      <c r="B88" s="2" t="s">
        <v>11</v>
      </c>
      <c r="C88" s="2">
        <v>9759.4</v>
      </c>
      <c r="D88" s="2">
        <v>3415.5</v>
      </c>
      <c r="E88" s="2">
        <v>2719.1</v>
      </c>
      <c r="F88" s="2">
        <v>930</v>
      </c>
      <c r="G88" s="2">
        <v>67.5</v>
      </c>
      <c r="H88" s="2">
        <v>1643.9</v>
      </c>
      <c r="I88" s="2">
        <v>1042</v>
      </c>
      <c r="J88" s="2">
        <v>862.3</v>
      </c>
      <c r="K88" s="2">
        <v>67.5</v>
      </c>
      <c r="L88" s="2">
        <v>1643.9</v>
      </c>
      <c r="M88" s="2">
        <v>1042</v>
      </c>
      <c r="N88" s="2">
        <v>862.3</v>
      </c>
      <c r="O88" s="2">
        <v>67.5</v>
      </c>
      <c r="P88" s="2">
        <v>10000</v>
      </c>
    </row>
    <row r="89" spans="1:16" ht="18.600000000000001" thickBot="1">
      <c r="A89" s="2" t="s">
        <v>23</v>
      </c>
      <c r="B89" s="2" t="s">
        <v>12</v>
      </c>
      <c r="C89" s="2">
        <v>2722.3</v>
      </c>
      <c r="D89" s="2">
        <v>658.6</v>
      </c>
      <c r="E89" s="2">
        <v>0.9</v>
      </c>
      <c r="F89" s="2">
        <v>631.70000000000005</v>
      </c>
      <c r="G89" s="2">
        <v>9.5</v>
      </c>
      <c r="H89" s="2">
        <v>620</v>
      </c>
      <c r="I89" s="2">
        <v>0.9</v>
      </c>
      <c r="J89" s="2">
        <v>565.23</v>
      </c>
      <c r="K89" s="2">
        <v>9.49</v>
      </c>
      <c r="L89" s="2">
        <v>620</v>
      </c>
      <c r="M89" s="2">
        <v>0.9</v>
      </c>
      <c r="N89" s="2">
        <v>565.23</v>
      </c>
      <c r="O89" s="2">
        <v>9.49</v>
      </c>
      <c r="P89" s="2">
        <v>2020.95</v>
      </c>
    </row>
    <row r="90" spans="1:16" ht="18.600000000000001" thickBot="1">
      <c r="A90" s="2" t="s">
        <v>23</v>
      </c>
      <c r="B90" s="2" t="s">
        <v>13</v>
      </c>
      <c r="C90" s="2">
        <v>4879.8</v>
      </c>
      <c r="D90" s="2">
        <v>1599.39</v>
      </c>
      <c r="E90" s="2">
        <v>839.2</v>
      </c>
      <c r="F90" s="2">
        <v>737.55</v>
      </c>
      <c r="G90" s="2">
        <v>22.64</v>
      </c>
      <c r="H90" s="2">
        <v>957.32</v>
      </c>
      <c r="I90" s="2">
        <v>286.62</v>
      </c>
      <c r="J90" s="2">
        <v>649.39</v>
      </c>
      <c r="K90" s="2">
        <v>21.3</v>
      </c>
      <c r="L90" s="2">
        <v>957.32</v>
      </c>
      <c r="M90" s="2">
        <v>286.62</v>
      </c>
      <c r="N90" s="2">
        <v>649.39</v>
      </c>
      <c r="O90" s="2">
        <v>21.3</v>
      </c>
      <c r="P90" s="2">
        <v>4499.1899999999996</v>
      </c>
    </row>
    <row r="91" spans="1:16" ht="18.600000000000001" thickBot="1">
      <c r="A91" s="2" t="s">
        <v>24</v>
      </c>
      <c r="B91" s="2" t="s">
        <v>9</v>
      </c>
      <c r="C91" s="2">
        <v>131729.43</v>
      </c>
      <c r="D91" s="2">
        <v>39553.35</v>
      </c>
      <c r="E91" s="2">
        <v>19921.8</v>
      </c>
      <c r="F91" s="2">
        <v>19106.349999999999</v>
      </c>
      <c r="G91" s="2">
        <v>525.20000000000005</v>
      </c>
      <c r="H91" s="2">
        <v>24498.04</v>
      </c>
      <c r="I91" s="2">
        <v>7939.65</v>
      </c>
      <c r="J91" s="2">
        <v>16070.69</v>
      </c>
      <c r="K91" s="2">
        <v>487.7</v>
      </c>
      <c r="L91" s="2">
        <v>24498.04</v>
      </c>
      <c r="M91" s="2">
        <v>7939.65</v>
      </c>
      <c r="N91" s="2">
        <v>16070.69</v>
      </c>
      <c r="O91" s="2">
        <v>487.7</v>
      </c>
      <c r="P91" s="2" t="s">
        <v>10</v>
      </c>
    </row>
    <row r="92" spans="1:16" ht="18.600000000000001" thickBot="1">
      <c r="A92" s="2" t="s">
        <v>24</v>
      </c>
      <c r="B92" s="2" t="s">
        <v>11</v>
      </c>
      <c r="C92" s="2">
        <v>9744.2000000000007</v>
      </c>
      <c r="D92" s="2">
        <v>3278.5</v>
      </c>
      <c r="E92" s="2">
        <v>2626.9</v>
      </c>
      <c r="F92" s="2">
        <v>1262.7</v>
      </c>
      <c r="G92" s="2">
        <v>87</v>
      </c>
      <c r="H92" s="2">
        <v>1698.34</v>
      </c>
      <c r="I92" s="2">
        <v>1132.6500000000001</v>
      </c>
      <c r="J92" s="2">
        <v>884.7</v>
      </c>
      <c r="K92" s="2">
        <v>67</v>
      </c>
      <c r="L92" s="2">
        <v>1698.34</v>
      </c>
      <c r="M92" s="2">
        <v>1132.6500000000001</v>
      </c>
      <c r="N92" s="2">
        <v>884.7</v>
      </c>
      <c r="O92" s="2">
        <v>67</v>
      </c>
      <c r="P92" s="2">
        <v>10000</v>
      </c>
    </row>
    <row r="93" spans="1:16" ht="18.600000000000001" thickBot="1">
      <c r="A93" s="2" t="s">
        <v>24</v>
      </c>
      <c r="B93" s="2" t="s">
        <v>12</v>
      </c>
      <c r="C93" s="2">
        <v>3576.5</v>
      </c>
      <c r="D93" s="2">
        <v>606.9</v>
      </c>
      <c r="E93" s="2">
        <v>0.9</v>
      </c>
      <c r="F93" s="2">
        <v>551.70000000000005</v>
      </c>
      <c r="G93" s="2">
        <v>9</v>
      </c>
      <c r="H93" s="2">
        <v>606.9</v>
      </c>
      <c r="I93" s="2">
        <v>0.9</v>
      </c>
      <c r="J93" s="2">
        <v>515.52</v>
      </c>
      <c r="K93" s="2">
        <v>9</v>
      </c>
      <c r="L93" s="2">
        <v>606.9</v>
      </c>
      <c r="M93" s="2">
        <v>0.9</v>
      </c>
      <c r="N93" s="2">
        <v>515.52</v>
      </c>
      <c r="O93" s="2">
        <v>9</v>
      </c>
      <c r="P93" s="2">
        <v>2160.0100000000002</v>
      </c>
    </row>
    <row r="94" spans="1:16" ht="18.600000000000001" thickBot="1">
      <c r="A94" s="2" t="s">
        <v>24</v>
      </c>
      <c r="B94" s="2" t="s">
        <v>13</v>
      </c>
      <c r="C94" s="2">
        <v>5488.73</v>
      </c>
      <c r="D94" s="2">
        <v>1648.06</v>
      </c>
      <c r="E94" s="2">
        <v>830.08</v>
      </c>
      <c r="F94" s="2">
        <v>796.1</v>
      </c>
      <c r="G94" s="2">
        <v>21.88</v>
      </c>
      <c r="H94" s="2">
        <v>1020.75</v>
      </c>
      <c r="I94" s="2">
        <v>330.82</v>
      </c>
      <c r="J94" s="2">
        <v>669.61</v>
      </c>
      <c r="K94" s="2">
        <v>20.32</v>
      </c>
      <c r="L94" s="2">
        <v>1020.75</v>
      </c>
      <c r="M94" s="2">
        <v>330.82</v>
      </c>
      <c r="N94" s="2">
        <v>669.61</v>
      </c>
      <c r="O94" s="2">
        <v>20.32</v>
      </c>
      <c r="P94" s="2">
        <v>4341.38</v>
      </c>
    </row>
    <row r="95" spans="1:16" ht="18.600000000000001" thickBot="1">
      <c r="A95" s="2" t="s">
        <v>25</v>
      </c>
      <c r="B95" s="2" t="s">
        <v>9</v>
      </c>
      <c r="C95" s="2">
        <v>108780</v>
      </c>
      <c r="D95" s="2">
        <v>40047.75</v>
      </c>
      <c r="E95" s="2">
        <v>19075.400000000001</v>
      </c>
      <c r="F95" s="2">
        <v>20155.28</v>
      </c>
      <c r="G95" s="2">
        <v>817.08</v>
      </c>
      <c r="H95" s="2">
        <v>23437.919999999998</v>
      </c>
      <c r="I95" s="2">
        <v>7077.74</v>
      </c>
      <c r="J95" s="2">
        <v>15553.62</v>
      </c>
      <c r="K95" s="2">
        <v>806.57</v>
      </c>
      <c r="L95" s="2">
        <v>23437.919999999998</v>
      </c>
      <c r="M95" s="2">
        <v>7077.74</v>
      </c>
      <c r="N95" s="2">
        <v>15553.62</v>
      </c>
      <c r="O95" s="2">
        <v>806.57</v>
      </c>
      <c r="P95" s="2" t="s">
        <v>10</v>
      </c>
    </row>
    <row r="96" spans="1:16" ht="18.600000000000001" thickBot="1">
      <c r="A96" s="2" t="s">
        <v>25</v>
      </c>
      <c r="B96" s="2" t="s">
        <v>11</v>
      </c>
      <c r="C96" s="2">
        <v>6828.2</v>
      </c>
      <c r="D96" s="2">
        <v>3237.4</v>
      </c>
      <c r="E96" s="2">
        <v>2515.1</v>
      </c>
      <c r="F96" s="2">
        <v>1321</v>
      </c>
      <c r="G96" s="2">
        <v>186.8</v>
      </c>
      <c r="H96" s="2">
        <v>1609.7</v>
      </c>
      <c r="I96" s="2">
        <v>1011.7</v>
      </c>
      <c r="J96" s="2">
        <v>794.3</v>
      </c>
      <c r="K96" s="2">
        <v>186.8</v>
      </c>
      <c r="L96" s="2">
        <v>1609.7</v>
      </c>
      <c r="M96" s="2">
        <v>1011.7</v>
      </c>
      <c r="N96" s="2">
        <v>794.3</v>
      </c>
      <c r="O96" s="2">
        <v>186.8</v>
      </c>
      <c r="P96" s="2">
        <v>10000</v>
      </c>
    </row>
    <row r="97" spans="1:16" ht="18.600000000000001" thickBot="1">
      <c r="A97" s="2" t="s">
        <v>25</v>
      </c>
      <c r="B97" s="2" t="s">
        <v>12</v>
      </c>
      <c r="C97" s="2">
        <v>2931.7</v>
      </c>
      <c r="D97" s="2">
        <v>728.5</v>
      </c>
      <c r="E97" s="2">
        <v>0.3</v>
      </c>
      <c r="F97" s="2">
        <v>667</v>
      </c>
      <c r="G97" s="2">
        <v>9</v>
      </c>
      <c r="H97" s="2">
        <v>619.5</v>
      </c>
      <c r="I97" s="2">
        <v>0.3</v>
      </c>
      <c r="J97" s="2">
        <v>564.4</v>
      </c>
      <c r="K97" s="2">
        <v>9</v>
      </c>
      <c r="L97" s="2">
        <v>619.5</v>
      </c>
      <c r="M97" s="2">
        <v>0.3</v>
      </c>
      <c r="N97" s="2">
        <v>564.4</v>
      </c>
      <c r="O97" s="2">
        <v>9</v>
      </c>
      <c r="P97" s="2">
        <v>1900.57</v>
      </c>
    </row>
    <row r="98" spans="1:16" ht="18.600000000000001" thickBot="1">
      <c r="A98" s="2" t="s">
        <v>25</v>
      </c>
      <c r="B98" s="2" t="s">
        <v>13</v>
      </c>
      <c r="C98" s="2">
        <v>4532.5</v>
      </c>
      <c r="D98" s="2">
        <v>1668.66</v>
      </c>
      <c r="E98" s="2">
        <v>794.81</v>
      </c>
      <c r="F98" s="2">
        <v>839.8</v>
      </c>
      <c r="G98" s="2">
        <v>34.04</v>
      </c>
      <c r="H98" s="2">
        <v>976.58</v>
      </c>
      <c r="I98" s="2">
        <v>294.91000000000003</v>
      </c>
      <c r="J98" s="2">
        <v>648.07000000000005</v>
      </c>
      <c r="K98" s="2">
        <v>33.61</v>
      </c>
      <c r="L98" s="2">
        <v>976.58</v>
      </c>
      <c r="M98" s="2">
        <v>294.91000000000003</v>
      </c>
      <c r="N98" s="2">
        <v>648.07000000000005</v>
      </c>
      <c r="O98" s="2">
        <v>33.61</v>
      </c>
      <c r="P98" s="2">
        <v>4137.49</v>
      </c>
    </row>
    <row r="99" spans="1:16" ht="18.600000000000001" thickBot="1">
      <c r="A99" s="2" t="s">
        <v>26</v>
      </c>
      <c r="B99" s="2" t="s">
        <v>9</v>
      </c>
      <c r="C99" s="2">
        <v>98459.85</v>
      </c>
      <c r="D99" s="2">
        <v>44675.4</v>
      </c>
      <c r="E99" s="2">
        <v>18658.7</v>
      </c>
      <c r="F99" s="2">
        <v>25309.7</v>
      </c>
      <c r="G99" s="2">
        <v>707</v>
      </c>
      <c r="H99" s="2">
        <v>23899.29</v>
      </c>
      <c r="I99" s="2">
        <v>8555.16</v>
      </c>
      <c r="J99" s="2">
        <v>14700.57</v>
      </c>
      <c r="K99" s="2">
        <v>643.57000000000005</v>
      </c>
      <c r="L99" s="2">
        <v>23899.29</v>
      </c>
      <c r="M99" s="2">
        <v>8555.16</v>
      </c>
      <c r="N99" s="2">
        <v>14700.57</v>
      </c>
      <c r="O99" s="2">
        <v>643.57000000000005</v>
      </c>
      <c r="P99" s="2" t="s">
        <v>10</v>
      </c>
    </row>
    <row r="100" spans="1:16" ht="18.600000000000001" thickBot="1">
      <c r="A100" s="2" t="s">
        <v>26</v>
      </c>
      <c r="B100" s="2" t="s">
        <v>11</v>
      </c>
      <c r="C100" s="2">
        <v>5100.5</v>
      </c>
      <c r="D100" s="2">
        <v>3328.3</v>
      </c>
      <c r="E100" s="2">
        <v>2655.4</v>
      </c>
      <c r="F100" s="2">
        <v>1709.1</v>
      </c>
      <c r="G100" s="2">
        <v>185</v>
      </c>
      <c r="H100" s="2">
        <v>1992.1</v>
      </c>
      <c r="I100" s="2">
        <v>1375.7</v>
      </c>
      <c r="J100" s="2">
        <v>873.71</v>
      </c>
      <c r="K100" s="2">
        <v>125</v>
      </c>
      <c r="L100" s="2">
        <v>1992.1</v>
      </c>
      <c r="M100" s="2">
        <v>1375.7</v>
      </c>
      <c r="N100" s="2">
        <v>873.71</v>
      </c>
      <c r="O100" s="2">
        <v>125</v>
      </c>
      <c r="P100" s="2">
        <v>4999.05</v>
      </c>
    </row>
    <row r="101" spans="1:16" ht="18.600000000000001" thickBot="1">
      <c r="A101" s="2" t="s">
        <v>26</v>
      </c>
      <c r="B101" s="2" t="s">
        <v>12</v>
      </c>
      <c r="C101" s="2">
        <v>3001.7</v>
      </c>
      <c r="D101" s="2">
        <v>1090.7</v>
      </c>
      <c r="E101" s="2">
        <v>0.3</v>
      </c>
      <c r="F101" s="2">
        <v>586.9</v>
      </c>
      <c r="G101" s="2">
        <v>7</v>
      </c>
      <c r="H101" s="2">
        <v>605.70000000000005</v>
      </c>
      <c r="I101" s="2">
        <v>0.3</v>
      </c>
      <c r="J101" s="2">
        <v>506.3</v>
      </c>
      <c r="K101" s="2">
        <v>7</v>
      </c>
      <c r="L101" s="2">
        <v>605.70000000000005</v>
      </c>
      <c r="M101" s="2">
        <v>0.3</v>
      </c>
      <c r="N101" s="2">
        <v>506.3</v>
      </c>
      <c r="O101" s="2">
        <v>7</v>
      </c>
      <c r="P101" s="2">
        <v>1600.42</v>
      </c>
    </row>
    <row r="102" spans="1:16" ht="18.600000000000001" thickBot="1">
      <c r="A102" s="2" t="s">
        <v>26</v>
      </c>
      <c r="B102" s="2" t="s">
        <v>13</v>
      </c>
      <c r="C102" s="2">
        <v>4102.49</v>
      </c>
      <c r="D102" s="2">
        <v>1861.48</v>
      </c>
      <c r="E102" s="2">
        <v>777.45</v>
      </c>
      <c r="F102" s="2">
        <v>1054.57</v>
      </c>
      <c r="G102" s="2">
        <v>29.46</v>
      </c>
      <c r="H102" s="2">
        <v>995.8</v>
      </c>
      <c r="I102" s="2">
        <v>356.46</v>
      </c>
      <c r="J102" s="2">
        <v>612.52</v>
      </c>
      <c r="K102" s="2">
        <v>26.82</v>
      </c>
      <c r="L102" s="2">
        <v>995.8</v>
      </c>
      <c r="M102" s="2">
        <v>356.46</v>
      </c>
      <c r="N102" s="2">
        <v>612.52</v>
      </c>
      <c r="O102" s="2">
        <v>26.82</v>
      </c>
      <c r="P102" s="2">
        <v>3072.72</v>
      </c>
    </row>
    <row r="103" spans="1:16" ht="18.600000000000001" thickBot="1">
      <c r="A103" s="2" t="s">
        <v>27</v>
      </c>
      <c r="B103" s="2" t="s">
        <v>9</v>
      </c>
      <c r="C103" s="2">
        <v>114061.55</v>
      </c>
      <c r="D103" s="2">
        <v>43757.7</v>
      </c>
      <c r="E103" s="2">
        <v>19075.18</v>
      </c>
      <c r="F103" s="2">
        <v>24050.65</v>
      </c>
      <c r="G103" s="2">
        <v>631.88</v>
      </c>
      <c r="H103" s="2">
        <v>23619.200000000001</v>
      </c>
      <c r="I103" s="2">
        <v>7813</v>
      </c>
      <c r="J103" s="2">
        <v>15174.33</v>
      </c>
      <c r="K103" s="2">
        <v>631.87</v>
      </c>
      <c r="L103" s="2">
        <v>23619.200000000001</v>
      </c>
      <c r="M103" s="2">
        <v>7813</v>
      </c>
      <c r="N103" s="2">
        <v>15174.33</v>
      </c>
      <c r="O103" s="2">
        <v>631.87</v>
      </c>
      <c r="P103" s="2" t="s">
        <v>10</v>
      </c>
    </row>
    <row r="104" spans="1:16" ht="18.600000000000001" thickBot="1">
      <c r="A104" s="2" t="s">
        <v>27</v>
      </c>
      <c r="B104" s="2" t="s">
        <v>11</v>
      </c>
      <c r="C104" s="2">
        <v>7404.6</v>
      </c>
      <c r="D104" s="2">
        <v>3268.9</v>
      </c>
      <c r="E104" s="2">
        <v>2581.9</v>
      </c>
      <c r="F104" s="2">
        <v>1440.7</v>
      </c>
      <c r="G104" s="2">
        <v>98.8</v>
      </c>
      <c r="H104" s="2">
        <v>1956.4</v>
      </c>
      <c r="I104" s="2">
        <v>1351.93</v>
      </c>
      <c r="J104" s="2">
        <v>767.6</v>
      </c>
      <c r="K104" s="2">
        <v>98.8</v>
      </c>
      <c r="L104" s="2">
        <v>1956.4</v>
      </c>
      <c r="M104" s="2">
        <v>1351.93</v>
      </c>
      <c r="N104" s="2">
        <v>767.6</v>
      </c>
      <c r="O104" s="2">
        <v>98.8</v>
      </c>
      <c r="P104" s="2">
        <v>5450.62</v>
      </c>
    </row>
    <row r="105" spans="1:16" ht="18.600000000000001" thickBot="1">
      <c r="A105" s="2" t="s">
        <v>27</v>
      </c>
      <c r="B105" s="2" t="s">
        <v>12</v>
      </c>
      <c r="C105" s="2">
        <v>3573.3</v>
      </c>
      <c r="D105" s="2">
        <v>974.4</v>
      </c>
      <c r="E105" s="2">
        <v>0.2</v>
      </c>
      <c r="F105" s="2">
        <v>605.6</v>
      </c>
      <c r="G105" s="2">
        <v>7</v>
      </c>
      <c r="H105" s="2">
        <v>597.6</v>
      </c>
      <c r="I105" s="2">
        <v>0.2</v>
      </c>
      <c r="J105" s="2">
        <v>479.5</v>
      </c>
      <c r="K105" s="2">
        <v>7</v>
      </c>
      <c r="L105" s="2">
        <v>597.6</v>
      </c>
      <c r="M105" s="2">
        <v>0.2</v>
      </c>
      <c r="N105" s="2">
        <v>479.5</v>
      </c>
      <c r="O105" s="2">
        <v>7</v>
      </c>
      <c r="P105" s="2">
        <v>1700.27</v>
      </c>
    </row>
    <row r="106" spans="1:16" ht="18.600000000000001" thickBot="1">
      <c r="A106" s="2" t="s">
        <v>27</v>
      </c>
      <c r="B106" s="2" t="s">
        <v>13</v>
      </c>
      <c r="C106" s="2">
        <v>4752.5600000000004</v>
      </c>
      <c r="D106" s="2">
        <v>1823.24</v>
      </c>
      <c r="E106" s="2">
        <v>794.8</v>
      </c>
      <c r="F106" s="2">
        <v>1002.11</v>
      </c>
      <c r="G106" s="2">
        <v>26.33</v>
      </c>
      <c r="H106" s="2">
        <v>984.13</v>
      </c>
      <c r="I106" s="2">
        <v>325.54000000000002</v>
      </c>
      <c r="J106" s="2">
        <v>632.26</v>
      </c>
      <c r="K106" s="2">
        <v>26.33</v>
      </c>
      <c r="L106" s="2">
        <v>984.13</v>
      </c>
      <c r="M106" s="2">
        <v>325.54000000000002</v>
      </c>
      <c r="N106" s="2">
        <v>632.26</v>
      </c>
      <c r="O106" s="2">
        <v>26.33</v>
      </c>
      <c r="P106" s="2">
        <v>3036.62</v>
      </c>
    </row>
    <row r="107" spans="1:16" ht="18.600000000000001" thickBot="1">
      <c r="A107" s="2" t="s">
        <v>28</v>
      </c>
      <c r="B107" s="2" t="s">
        <v>9</v>
      </c>
      <c r="C107" s="2">
        <v>105165.3</v>
      </c>
      <c r="D107" s="2">
        <v>42070.78</v>
      </c>
      <c r="E107" s="2">
        <v>20374.599999999999</v>
      </c>
      <c r="F107" s="2">
        <v>21090.799999999999</v>
      </c>
      <c r="G107" s="2">
        <v>605.38</v>
      </c>
      <c r="H107" s="2">
        <v>23083.94</v>
      </c>
      <c r="I107" s="2">
        <v>7746.54</v>
      </c>
      <c r="J107" s="2">
        <v>14812.67</v>
      </c>
      <c r="K107" s="2">
        <v>524.74</v>
      </c>
      <c r="L107" s="2">
        <v>23083.94</v>
      </c>
      <c r="M107" s="2">
        <v>7746.54</v>
      </c>
      <c r="N107" s="2">
        <v>14812.67</v>
      </c>
      <c r="O107" s="2">
        <v>524.74</v>
      </c>
      <c r="P107" s="2" t="s">
        <v>10</v>
      </c>
    </row>
    <row r="108" spans="1:16" ht="18.600000000000001" thickBot="1">
      <c r="A108" s="2" t="s">
        <v>28</v>
      </c>
      <c r="B108" s="2" t="s">
        <v>11</v>
      </c>
      <c r="C108" s="2">
        <v>6682.7</v>
      </c>
      <c r="D108" s="2">
        <v>3339.8</v>
      </c>
      <c r="E108" s="2">
        <v>2646.2</v>
      </c>
      <c r="F108" s="2">
        <v>1282.5</v>
      </c>
      <c r="G108" s="2">
        <v>94.8</v>
      </c>
      <c r="H108" s="2">
        <v>2035.1</v>
      </c>
      <c r="I108" s="2">
        <v>1445.87</v>
      </c>
      <c r="J108" s="2">
        <v>1046.3</v>
      </c>
      <c r="K108" s="2">
        <v>94.8</v>
      </c>
      <c r="L108" s="2">
        <v>2035.1</v>
      </c>
      <c r="M108" s="2">
        <v>1445.87</v>
      </c>
      <c r="N108" s="2">
        <v>1046.3</v>
      </c>
      <c r="O108" s="2">
        <v>94.8</v>
      </c>
      <c r="P108" s="2">
        <v>6691.6</v>
      </c>
    </row>
    <row r="109" spans="1:16" ht="18.600000000000001" thickBot="1">
      <c r="A109" s="2" t="s">
        <v>28</v>
      </c>
      <c r="B109" s="2" t="s">
        <v>12</v>
      </c>
      <c r="C109" s="2">
        <v>2821.4</v>
      </c>
      <c r="D109" s="2">
        <v>738.1</v>
      </c>
      <c r="E109" s="2">
        <v>0.8</v>
      </c>
      <c r="F109" s="2">
        <v>627.79999999999995</v>
      </c>
      <c r="G109" s="2">
        <v>7</v>
      </c>
      <c r="H109" s="2">
        <v>544.70000000000005</v>
      </c>
      <c r="I109" s="2">
        <v>0.8</v>
      </c>
      <c r="J109" s="2">
        <v>461.5</v>
      </c>
      <c r="K109" s="2">
        <v>7</v>
      </c>
      <c r="L109" s="2">
        <v>544.70000000000005</v>
      </c>
      <c r="M109" s="2">
        <v>0.8</v>
      </c>
      <c r="N109" s="2">
        <v>461.5</v>
      </c>
      <c r="O109" s="2">
        <v>7</v>
      </c>
      <c r="P109" s="2">
        <v>1999.68</v>
      </c>
    </row>
    <row r="110" spans="1:16" ht="18.600000000000001" thickBot="1">
      <c r="A110" s="2" t="s">
        <v>28</v>
      </c>
      <c r="B110" s="2" t="s">
        <v>13</v>
      </c>
      <c r="C110" s="2">
        <v>4381.8900000000003</v>
      </c>
      <c r="D110" s="2">
        <v>1752.95</v>
      </c>
      <c r="E110" s="2">
        <v>848.94</v>
      </c>
      <c r="F110" s="2">
        <v>878.78</v>
      </c>
      <c r="G110" s="2">
        <v>25.22</v>
      </c>
      <c r="H110" s="2">
        <v>961.83</v>
      </c>
      <c r="I110" s="2">
        <v>322.77</v>
      </c>
      <c r="J110" s="2">
        <v>617.19000000000005</v>
      </c>
      <c r="K110" s="2">
        <v>21.86</v>
      </c>
      <c r="L110" s="2">
        <v>961.83</v>
      </c>
      <c r="M110" s="2">
        <v>322.77</v>
      </c>
      <c r="N110" s="2">
        <v>617.19000000000005</v>
      </c>
      <c r="O110" s="2">
        <v>21.86</v>
      </c>
      <c r="P110" s="2">
        <v>3466.05</v>
      </c>
    </row>
    <row r="111" spans="1:16" ht="18.600000000000001" thickBot="1">
      <c r="A111" s="2" t="s">
        <v>29</v>
      </c>
      <c r="B111" s="2" t="s">
        <v>9</v>
      </c>
      <c r="C111" s="2">
        <v>114284.18</v>
      </c>
      <c r="D111" s="2">
        <v>37582.93</v>
      </c>
      <c r="E111" s="2">
        <v>18443.599999999999</v>
      </c>
      <c r="F111" s="2">
        <v>18545.7</v>
      </c>
      <c r="G111" s="2">
        <v>593.63</v>
      </c>
      <c r="H111" s="2">
        <v>23112.59</v>
      </c>
      <c r="I111" s="2">
        <v>7543.65</v>
      </c>
      <c r="J111" s="2">
        <v>15039.07</v>
      </c>
      <c r="K111" s="2">
        <v>529.87</v>
      </c>
      <c r="L111" s="2">
        <v>23112.59</v>
      </c>
      <c r="M111" s="2">
        <v>7543.65</v>
      </c>
      <c r="N111" s="2">
        <v>15039.07</v>
      </c>
      <c r="O111" s="2">
        <v>529.87</v>
      </c>
      <c r="P111" s="2" t="s">
        <v>10</v>
      </c>
    </row>
    <row r="112" spans="1:16" ht="18.600000000000001" thickBot="1">
      <c r="A112" s="2" t="s">
        <v>29</v>
      </c>
      <c r="B112" s="2" t="s">
        <v>11</v>
      </c>
      <c r="C112" s="2">
        <v>7064.1</v>
      </c>
      <c r="D112" s="2">
        <v>2982.2</v>
      </c>
      <c r="E112" s="2">
        <v>2365.3000000000002</v>
      </c>
      <c r="F112" s="2">
        <v>999.8</v>
      </c>
      <c r="G112" s="2">
        <v>95.8</v>
      </c>
      <c r="H112" s="2">
        <v>1757</v>
      </c>
      <c r="I112" s="2">
        <v>1195.24</v>
      </c>
      <c r="J112" s="2">
        <v>838.5</v>
      </c>
      <c r="K112" s="2">
        <v>95.8</v>
      </c>
      <c r="L112" s="2">
        <v>1757</v>
      </c>
      <c r="M112" s="2">
        <v>1195.24</v>
      </c>
      <c r="N112" s="2">
        <v>838.5</v>
      </c>
      <c r="O112" s="2">
        <v>95.8</v>
      </c>
      <c r="P112" s="2">
        <v>10000</v>
      </c>
    </row>
    <row r="113" spans="1:16" ht="18.600000000000001" thickBot="1">
      <c r="A113" s="2" t="s">
        <v>29</v>
      </c>
      <c r="B113" s="2" t="s">
        <v>12</v>
      </c>
      <c r="C113" s="2">
        <v>3029.6</v>
      </c>
      <c r="D113" s="2">
        <v>716.9</v>
      </c>
      <c r="E113" s="2">
        <v>0.1</v>
      </c>
      <c r="F113" s="2">
        <v>566.9</v>
      </c>
      <c r="G113" s="2">
        <v>8</v>
      </c>
      <c r="H113" s="2">
        <v>597.6</v>
      </c>
      <c r="I113" s="2">
        <v>0.1</v>
      </c>
      <c r="J113" s="2">
        <v>464.89</v>
      </c>
      <c r="K113" s="2">
        <v>8</v>
      </c>
      <c r="L113" s="2">
        <v>597.6</v>
      </c>
      <c r="M113" s="2">
        <v>0.1</v>
      </c>
      <c r="N113" s="2">
        <v>464.89</v>
      </c>
      <c r="O113" s="2">
        <v>8</v>
      </c>
      <c r="P113" s="2">
        <v>2230.3200000000002</v>
      </c>
    </row>
    <row r="114" spans="1:16" ht="18.600000000000001" thickBot="1">
      <c r="A114" s="2" t="s">
        <v>29</v>
      </c>
      <c r="B114" s="2" t="s">
        <v>13</v>
      </c>
      <c r="C114" s="2">
        <v>4761.84</v>
      </c>
      <c r="D114" s="2">
        <v>1565.96</v>
      </c>
      <c r="E114" s="2">
        <v>768.48</v>
      </c>
      <c r="F114" s="2">
        <v>772.74</v>
      </c>
      <c r="G114" s="2">
        <v>24.73</v>
      </c>
      <c r="H114" s="2">
        <v>963.02</v>
      </c>
      <c r="I114" s="2">
        <v>314.32</v>
      </c>
      <c r="J114" s="2">
        <v>626.63</v>
      </c>
      <c r="K114" s="2">
        <v>22.08</v>
      </c>
      <c r="L114" s="2">
        <v>963.02</v>
      </c>
      <c r="M114" s="2">
        <v>314.32</v>
      </c>
      <c r="N114" s="2">
        <v>626.63</v>
      </c>
      <c r="O114" s="2">
        <v>22.08</v>
      </c>
      <c r="P114" s="2">
        <v>3833.47</v>
      </c>
    </row>
    <row r="115" spans="1:16" ht="18.600000000000001" thickBot="1">
      <c r="A115" s="2" t="s">
        <v>30</v>
      </c>
      <c r="B115" s="2" t="s">
        <v>9</v>
      </c>
      <c r="C115" s="2">
        <v>129725.7</v>
      </c>
      <c r="D115" s="2">
        <v>39182.03</v>
      </c>
      <c r="E115" s="2">
        <v>19726.2</v>
      </c>
      <c r="F115" s="2">
        <v>18794.900000000001</v>
      </c>
      <c r="G115" s="2">
        <v>660.93</v>
      </c>
      <c r="H115" s="2">
        <v>23562.14</v>
      </c>
      <c r="I115" s="2">
        <v>8639.7900000000009</v>
      </c>
      <c r="J115" s="2">
        <v>14346.47</v>
      </c>
      <c r="K115" s="2">
        <v>575.88</v>
      </c>
      <c r="L115" s="2">
        <v>23562.14</v>
      </c>
      <c r="M115" s="2">
        <v>8639.7900000000009</v>
      </c>
      <c r="N115" s="2">
        <v>14346.47</v>
      </c>
      <c r="O115" s="2">
        <v>575.88</v>
      </c>
      <c r="P115" s="2" t="s">
        <v>10</v>
      </c>
    </row>
    <row r="116" spans="1:16" ht="18.600000000000001" thickBot="1">
      <c r="A116" s="2" t="s">
        <v>30</v>
      </c>
      <c r="B116" s="2" t="s">
        <v>11</v>
      </c>
      <c r="C116" s="2">
        <v>7514.2</v>
      </c>
      <c r="D116" s="2">
        <v>3273.1</v>
      </c>
      <c r="E116" s="2">
        <v>2641.3</v>
      </c>
      <c r="F116" s="2">
        <v>1099.2</v>
      </c>
      <c r="G116" s="2">
        <v>95.8</v>
      </c>
      <c r="H116" s="2">
        <v>2036.8</v>
      </c>
      <c r="I116" s="2">
        <v>1497.34</v>
      </c>
      <c r="J116" s="2">
        <v>808.51</v>
      </c>
      <c r="K116" s="2">
        <v>95.8</v>
      </c>
      <c r="L116" s="2">
        <v>2036.8</v>
      </c>
      <c r="M116" s="2">
        <v>1497.34</v>
      </c>
      <c r="N116" s="2">
        <v>808.51</v>
      </c>
      <c r="O116" s="2">
        <v>95.8</v>
      </c>
      <c r="P116" s="2">
        <v>10000</v>
      </c>
    </row>
    <row r="117" spans="1:16" ht="18.600000000000001" thickBot="1">
      <c r="A117" s="2" t="s">
        <v>30</v>
      </c>
      <c r="B117" s="2" t="s">
        <v>12</v>
      </c>
      <c r="C117" s="2">
        <v>3259</v>
      </c>
      <c r="D117" s="2">
        <v>680.8</v>
      </c>
      <c r="E117" s="2">
        <v>0.3</v>
      </c>
      <c r="F117" s="2">
        <v>523.79999999999995</v>
      </c>
      <c r="G117" s="2">
        <v>8</v>
      </c>
      <c r="H117" s="2">
        <v>549.29999999999995</v>
      </c>
      <c r="I117" s="2">
        <v>0.3</v>
      </c>
      <c r="J117" s="2">
        <v>434.33</v>
      </c>
      <c r="K117" s="2">
        <v>8</v>
      </c>
      <c r="L117" s="2">
        <v>549.29999999999995</v>
      </c>
      <c r="M117" s="2">
        <v>0.3</v>
      </c>
      <c r="N117" s="2">
        <v>434.33</v>
      </c>
      <c r="O117" s="2">
        <v>8</v>
      </c>
      <c r="P117" s="2">
        <v>2000.97</v>
      </c>
    </row>
    <row r="118" spans="1:16" ht="18.600000000000001" thickBot="1">
      <c r="A118" s="2" t="s">
        <v>30</v>
      </c>
      <c r="B118" s="2" t="s">
        <v>13</v>
      </c>
      <c r="C118" s="2">
        <v>5405.24</v>
      </c>
      <c r="D118" s="2">
        <v>1632.58</v>
      </c>
      <c r="E118" s="2">
        <v>821.93</v>
      </c>
      <c r="F118" s="2">
        <v>783.12</v>
      </c>
      <c r="G118" s="2">
        <v>27.54</v>
      </c>
      <c r="H118" s="2">
        <v>981.76</v>
      </c>
      <c r="I118" s="2">
        <v>359.99</v>
      </c>
      <c r="J118" s="2">
        <v>597.77</v>
      </c>
      <c r="K118" s="2">
        <v>24</v>
      </c>
      <c r="L118" s="2">
        <v>981.76</v>
      </c>
      <c r="M118" s="2">
        <v>359.99</v>
      </c>
      <c r="N118" s="2">
        <v>597.77</v>
      </c>
      <c r="O118" s="2">
        <v>24</v>
      </c>
      <c r="P118" s="2">
        <v>3694.03</v>
      </c>
    </row>
    <row r="119" spans="1:16" ht="18.600000000000001" thickBot="1">
      <c r="A119" s="2" t="s">
        <v>31</v>
      </c>
      <c r="B119" s="2" t="s">
        <v>9</v>
      </c>
      <c r="C119" s="2">
        <v>114999.05</v>
      </c>
      <c r="D119" s="2">
        <v>38407.65</v>
      </c>
      <c r="E119" s="2">
        <v>18856.95</v>
      </c>
      <c r="F119" s="2">
        <v>18917.68</v>
      </c>
      <c r="G119" s="2">
        <v>633.03</v>
      </c>
      <c r="H119" s="2">
        <v>25913.79</v>
      </c>
      <c r="I119" s="2">
        <v>11828.53</v>
      </c>
      <c r="J119" s="2">
        <v>13600.99</v>
      </c>
      <c r="K119" s="2">
        <v>484.28</v>
      </c>
      <c r="L119" s="2">
        <v>25913.79</v>
      </c>
      <c r="M119" s="2">
        <v>11828.53</v>
      </c>
      <c r="N119" s="2">
        <v>13600.99</v>
      </c>
      <c r="O119" s="2">
        <v>484.28</v>
      </c>
      <c r="P119" s="2" t="s">
        <v>10</v>
      </c>
    </row>
    <row r="120" spans="1:16" ht="18.600000000000001" thickBot="1">
      <c r="A120" s="2" t="s">
        <v>31</v>
      </c>
      <c r="B120" s="2" t="s">
        <v>11</v>
      </c>
      <c r="C120" s="2">
        <v>7403.3</v>
      </c>
      <c r="D120" s="2">
        <v>3084.6</v>
      </c>
      <c r="E120" s="2">
        <v>2469.4</v>
      </c>
      <c r="F120" s="2">
        <v>1047.8</v>
      </c>
      <c r="G120" s="2">
        <v>93.8</v>
      </c>
      <c r="H120" s="2">
        <v>2948</v>
      </c>
      <c r="I120" s="2">
        <v>2354.5</v>
      </c>
      <c r="J120" s="2">
        <v>686.79</v>
      </c>
      <c r="K120" s="2">
        <v>61.8</v>
      </c>
      <c r="L120" s="2">
        <v>2948</v>
      </c>
      <c r="M120" s="2">
        <v>2354.5</v>
      </c>
      <c r="N120" s="2">
        <v>686.79</v>
      </c>
      <c r="O120" s="2">
        <v>61.8</v>
      </c>
      <c r="P120" s="2">
        <v>9000.16</v>
      </c>
    </row>
    <row r="121" spans="1:16" ht="18.600000000000001" thickBot="1">
      <c r="A121" s="2" t="s">
        <v>31</v>
      </c>
      <c r="B121" s="2" t="s">
        <v>12</v>
      </c>
      <c r="C121" s="2">
        <v>3069.3</v>
      </c>
      <c r="D121" s="2">
        <v>750.9</v>
      </c>
      <c r="E121" s="2">
        <v>0.3</v>
      </c>
      <c r="F121" s="2">
        <v>523.79999999999995</v>
      </c>
      <c r="G121" s="2">
        <v>7</v>
      </c>
      <c r="H121" s="2">
        <v>552.20000000000005</v>
      </c>
      <c r="I121" s="2">
        <v>0.3</v>
      </c>
      <c r="J121" s="2">
        <v>406.21</v>
      </c>
      <c r="K121" s="2">
        <v>7</v>
      </c>
      <c r="L121" s="2">
        <v>552.20000000000005</v>
      </c>
      <c r="M121" s="2">
        <v>0.3</v>
      </c>
      <c r="N121" s="2">
        <v>406.21</v>
      </c>
      <c r="O121" s="2">
        <v>7</v>
      </c>
      <c r="P121" s="2">
        <v>2000.62</v>
      </c>
    </row>
    <row r="122" spans="1:16" ht="18.600000000000001" thickBot="1">
      <c r="A122" s="2" t="s">
        <v>31</v>
      </c>
      <c r="B122" s="2" t="s">
        <v>13</v>
      </c>
      <c r="C122" s="2">
        <v>4791.63</v>
      </c>
      <c r="D122" s="2">
        <v>1600.32</v>
      </c>
      <c r="E122" s="2">
        <v>785.71</v>
      </c>
      <c r="F122" s="2">
        <v>788.24</v>
      </c>
      <c r="G122" s="2">
        <v>26.38</v>
      </c>
      <c r="H122" s="2">
        <v>1079.74</v>
      </c>
      <c r="I122" s="2">
        <v>492.86</v>
      </c>
      <c r="J122" s="2">
        <v>566.71</v>
      </c>
      <c r="K122" s="2">
        <v>20.18</v>
      </c>
      <c r="L122" s="2">
        <v>1079.74</v>
      </c>
      <c r="M122" s="2">
        <v>492.86</v>
      </c>
      <c r="N122" s="2">
        <v>566.71</v>
      </c>
      <c r="O122" s="2">
        <v>20.18</v>
      </c>
      <c r="P122" s="2">
        <v>3445.82</v>
      </c>
    </row>
    <row r="123" spans="1:16" ht="18.600000000000001" thickBot="1">
      <c r="A123" s="2" t="s">
        <v>32</v>
      </c>
      <c r="B123" s="2" t="s">
        <v>9</v>
      </c>
      <c r="C123" s="2">
        <v>105694.95</v>
      </c>
      <c r="D123" s="2">
        <v>40693.730000000003</v>
      </c>
      <c r="E123" s="2">
        <v>21396.6</v>
      </c>
      <c r="F123" s="2">
        <v>18465.45</v>
      </c>
      <c r="G123" s="2">
        <v>831.68</v>
      </c>
      <c r="H123" s="2">
        <v>23286.5</v>
      </c>
      <c r="I123" s="2">
        <v>8778.67</v>
      </c>
      <c r="J123" s="2">
        <v>13758.66</v>
      </c>
      <c r="K123" s="2">
        <v>749.17</v>
      </c>
      <c r="L123" s="2">
        <v>23286.5</v>
      </c>
      <c r="M123" s="2">
        <v>8778.67</v>
      </c>
      <c r="N123" s="2">
        <v>13758.66</v>
      </c>
      <c r="O123" s="2">
        <v>749.17</v>
      </c>
      <c r="P123" s="2" t="s">
        <v>10</v>
      </c>
    </row>
    <row r="124" spans="1:16" ht="18.600000000000001" thickBot="1">
      <c r="A124" s="2" t="s">
        <v>32</v>
      </c>
      <c r="B124" s="2" t="s">
        <v>11</v>
      </c>
      <c r="C124" s="2">
        <v>6172.4</v>
      </c>
      <c r="D124" s="2">
        <v>3389</v>
      </c>
      <c r="E124" s="2">
        <v>2821.5</v>
      </c>
      <c r="F124" s="2">
        <v>1121.7</v>
      </c>
      <c r="G124" s="2">
        <v>188.8</v>
      </c>
      <c r="H124" s="2">
        <v>2166.4</v>
      </c>
      <c r="I124" s="2">
        <v>1602.32</v>
      </c>
      <c r="J124" s="2">
        <v>753.3</v>
      </c>
      <c r="K124" s="2">
        <v>188.8</v>
      </c>
      <c r="L124" s="2">
        <v>2166.4</v>
      </c>
      <c r="M124" s="2">
        <v>1602.32</v>
      </c>
      <c r="N124" s="2">
        <v>753.3</v>
      </c>
      <c r="O124" s="2">
        <v>188.8</v>
      </c>
      <c r="P124" s="2">
        <v>6570.08</v>
      </c>
    </row>
    <row r="125" spans="1:16" ht="18.600000000000001" thickBot="1">
      <c r="A125" s="2" t="s">
        <v>32</v>
      </c>
      <c r="B125" s="2" t="s">
        <v>12</v>
      </c>
      <c r="C125" s="2">
        <v>3012.2</v>
      </c>
      <c r="D125" s="2">
        <v>753.6</v>
      </c>
      <c r="E125" s="2">
        <v>0.1</v>
      </c>
      <c r="F125" s="2">
        <v>520.1</v>
      </c>
      <c r="G125" s="2">
        <v>7</v>
      </c>
      <c r="H125" s="2">
        <v>560.1</v>
      </c>
      <c r="I125" s="2">
        <v>0.1</v>
      </c>
      <c r="J125" s="2">
        <v>425.9</v>
      </c>
      <c r="K125" s="2">
        <v>7</v>
      </c>
      <c r="L125" s="2">
        <v>560.1</v>
      </c>
      <c r="M125" s="2">
        <v>0.1</v>
      </c>
      <c r="N125" s="2">
        <v>425.9</v>
      </c>
      <c r="O125" s="2">
        <v>7</v>
      </c>
      <c r="P125" s="2">
        <v>2000.14</v>
      </c>
    </row>
    <row r="126" spans="1:16" ht="18.600000000000001" thickBot="1">
      <c r="A126" s="2" t="s">
        <v>32</v>
      </c>
      <c r="B126" s="2" t="s">
        <v>13</v>
      </c>
      <c r="C126" s="2">
        <v>4403.96</v>
      </c>
      <c r="D126" s="2">
        <v>1695.57</v>
      </c>
      <c r="E126" s="2">
        <v>891.53</v>
      </c>
      <c r="F126" s="2">
        <v>769.39</v>
      </c>
      <c r="G126" s="2">
        <v>34.65</v>
      </c>
      <c r="H126" s="2">
        <v>970.27</v>
      </c>
      <c r="I126" s="2">
        <v>365.78</v>
      </c>
      <c r="J126" s="2">
        <v>573.28</v>
      </c>
      <c r="K126" s="2">
        <v>31.22</v>
      </c>
      <c r="L126" s="2">
        <v>970.27</v>
      </c>
      <c r="M126" s="2">
        <v>365.78</v>
      </c>
      <c r="N126" s="2">
        <v>573.28</v>
      </c>
      <c r="O126" s="2">
        <v>31.22</v>
      </c>
      <c r="P126" s="2">
        <v>3335.65</v>
      </c>
    </row>
  </sheetData>
  <mergeCells count="7">
    <mergeCell ref="P1:P2"/>
    <mergeCell ref="A1:A2"/>
    <mergeCell ref="B1:B2"/>
    <mergeCell ref="C1:C2"/>
    <mergeCell ref="D1:G1"/>
    <mergeCell ref="H1:K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Green 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Bhatta</dc:creator>
  <cp:lastModifiedBy>Ashish Bhatta</cp:lastModifiedBy>
  <dcterms:created xsi:type="dcterms:W3CDTF">2026-09-28T16:17:03Z</dcterms:created>
  <dcterms:modified xsi:type="dcterms:W3CDTF">2026-09-28T17:27:45Z</dcterms:modified>
</cp:coreProperties>
</file>